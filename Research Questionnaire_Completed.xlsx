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B\PPCA\TARG\Artigo\"/>
    </mc:Choice>
  </mc:AlternateContent>
  <xr:revisionPtr revIDLastSave="0" documentId="13_ncr:1_{825F16C9-7A23-4181-A480-F4987C100F13}" xr6:coauthVersionLast="47" xr6:coauthVersionMax="47" xr10:uidLastSave="{00000000-0000-0000-0000-000000000000}"/>
  <bookViews>
    <workbookView xWindow="-105" yWindow="0" windowWidth="19410" windowHeight="15585" xr2:uid="{41D67554-81A9-4E09-99F5-C69C59145512}"/>
  </bookViews>
  <sheets>
    <sheet name="Questions" sheetId="6" r:id="rId1"/>
    <sheet name="tabelaas de nota" sheetId="7" state="hidden" r:id="rId2"/>
    <sheet name="Eventos_tabulados" sheetId="1" state="hidden" r:id="rId3"/>
    <sheet name="Occurence" sheetId="2" r:id="rId4"/>
    <sheet name="Detection" sheetId="4" r:id="rId5"/>
    <sheet name="Severity" sheetId="3" r:id="rId6"/>
    <sheet name="Planilha1" sheetId="8" state="hidden" r:id="rId7"/>
    <sheet name="MASS AND ABNTY" sheetId="9" r:id="rId8"/>
    <sheet name="RPN_POND_MASS" sheetId="12" r:id="rId9"/>
    <sheet name="Validação" sheetId="11" state="hidden" r:id="rId10"/>
    <sheet name="FINAL_RESULTS" sheetId="13" r:id="rId11"/>
    <sheet name="Planilha3" sheetId="10" state="hidden" r:id="rId12"/>
    <sheet name="Eventos (2)" sheetId="5" state="hidden" r:id="rId13"/>
  </sheets>
  <definedNames>
    <definedName name="_xlnm._FilterDatabase" localSheetId="7" hidden="1">'MASS AND ABNTY'!$A$4:$N$328</definedName>
    <definedName name="_xlnm._FilterDatabase" localSheetId="11" hidden="1">Planilha3!$A$4:$M$284</definedName>
    <definedName name="_xlnm._FilterDatabase" localSheetId="0" hidden="1">Questions!$A$2:$I$38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9" l="1"/>
  <c r="B2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T2" i="9"/>
  <c r="D28" i="11"/>
  <c r="R291" i="10"/>
  <c r="R292" i="10"/>
  <c r="R293" i="10"/>
  <c r="R290" i="10"/>
  <c r="Q293" i="10"/>
  <c r="Q292" i="10"/>
  <c r="Q291" i="10"/>
  <c r="Q290" i="10"/>
  <c r="C10" i="11"/>
  <c r="D10" i="11" s="1"/>
  <c r="C9" i="11"/>
  <c r="D9" i="11" s="1"/>
  <c r="C8" i="11"/>
  <c r="D8" i="11" s="1"/>
  <c r="N3" i="9"/>
  <c r="F6" i="9"/>
  <c r="I6" i="9" s="1"/>
  <c r="F7" i="9"/>
  <c r="I7" i="9" s="1"/>
  <c r="F8" i="9"/>
  <c r="F9" i="9"/>
  <c r="F10" i="9"/>
  <c r="G10" i="9" s="1"/>
  <c r="J10" i="9" s="1"/>
  <c r="F11" i="9"/>
  <c r="F12" i="9"/>
  <c r="F13" i="9"/>
  <c r="F14" i="9"/>
  <c r="E14" i="9" s="1"/>
  <c r="H14" i="9" s="1"/>
  <c r="F15" i="9"/>
  <c r="E15" i="9" s="1"/>
  <c r="H15" i="9" s="1"/>
  <c r="F16" i="9"/>
  <c r="I16" i="9" s="1"/>
  <c r="F17" i="9"/>
  <c r="F18" i="9"/>
  <c r="G18" i="9" s="1"/>
  <c r="J18" i="9" s="1"/>
  <c r="F19" i="9"/>
  <c r="F20" i="9"/>
  <c r="F21" i="9"/>
  <c r="F22" i="9"/>
  <c r="E22" i="9" s="1"/>
  <c r="H22" i="9" s="1"/>
  <c r="F23" i="9"/>
  <c r="E23" i="9" s="1"/>
  <c r="H23" i="9" s="1"/>
  <c r="F24" i="9"/>
  <c r="F25" i="9"/>
  <c r="F26" i="9"/>
  <c r="G26" i="9" s="1"/>
  <c r="J26" i="9" s="1"/>
  <c r="F27" i="9"/>
  <c r="F28" i="9"/>
  <c r="F29" i="9"/>
  <c r="F30" i="9"/>
  <c r="G30" i="9" s="1"/>
  <c r="J30" i="9" s="1"/>
  <c r="F31" i="9"/>
  <c r="E31" i="9" s="1"/>
  <c r="H31" i="9" s="1"/>
  <c r="F32" i="9"/>
  <c r="F33" i="9"/>
  <c r="F34" i="9"/>
  <c r="G34" i="9" s="1"/>
  <c r="J34" i="9" s="1"/>
  <c r="F35" i="9"/>
  <c r="F36" i="9"/>
  <c r="E36" i="9" s="1"/>
  <c r="H36" i="9" s="1"/>
  <c r="F37" i="9"/>
  <c r="F38" i="9"/>
  <c r="I38" i="9" s="1"/>
  <c r="F39" i="9"/>
  <c r="I39" i="9" s="1"/>
  <c r="F40" i="9"/>
  <c r="E40" i="9" s="1"/>
  <c r="H40" i="9" s="1"/>
  <c r="F41" i="9"/>
  <c r="F42" i="9"/>
  <c r="G42" i="9" s="1"/>
  <c r="J42" i="9" s="1"/>
  <c r="F43" i="9"/>
  <c r="F44" i="9"/>
  <c r="E44" i="9" s="1"/>
  <c r="H44" i="9" s="1"/>
  <c r="F45" i="9"/>
  <c r="F46" i="9"/>
  <c r="I46" i="9" s="1"/>
  <c r="F47" i="9"/>
  <c r="I47" i="9" s="1"/>
  <c r="F48" i="9"/>
  <c r="I48" i="9" s="1"/>
  <c r="F49" i="9"/>
  <c r="F50" i="9"/>
  <c r="G50" i="9" s="1"/>
  <c r="J50" i="9" s="1"/>
  <c r="M50" i="9" s="1"/>
  <c r="F51" i="9"/>
  <c r="G51" i="9" s="1"/>
  <c r="J51" i="9" s="1"/>
  <c r="F52" i="9"/>
  <c r="E52" i="9" s="1"/>
  <c r="H52" i="9" s="1"/>
  <c r="F53" i="9"/>
  <c r="F54" i="9"/>
  <c r="I54" i="9" s="1"/>
  <c r="F55" i="9"/>
  <c r="I55" i="9" s="1"/>
  <c r="F56" i="9"/>
  <c r="I56" i="9" s="1"/>
  <c r="F57" i="9"/>
  <c r="F58" i="9"/>
  <c r="G58" i="9" s="1"/>
  <c r="J58" i="9" s="1"/>
  <c r="F59" i="9"/>
  <c r="F60" i="9"/>
  <c r="E60" i="9" s="1"/>
  <c r="H60" i="9" s="1"/>
  <c r="F61" i="9"/>
  <c r="F62" i="9"/>
  <c r="I62" i="9" s="1"/>
  <c r="F63" i="9"/>
  <c r="I63" i="9" s="1"/>
  <c r="F64" i="9"/>
  <c r="I64" i="9" s="1"/>
  <c r="F65" i="9"/>
  <c r="F66" i="9"/>
  <c r="G66" i="9" s="1"/>
  <c r="J66" i="9" s="1"/>
  <c r="F67" i="9"/>
  <c r="F68" i="9"/>
  <c r="E68" i="9" s="1"/>
  <c r="H68" i="9" s="1"/>
  <c r="F69" i="9"/>
  <c r="F70" i="9"/>
  <c r="I70" i="9" s="1"/>
  <c r="F71" i="9"/>
  <c r="G71" i="9" s="1"/>
  <c r="J71" i="9" s="1"/>
  <c r="F72" i="9"/>
  <c r="I72" i="9" s="1"/>
  <c r="F73" i="9"/>
  <c r="F74" i="9"/>
  <c r="G74" i="9" s="1"/>
  <c r="J74" i="9" s="1"/>
  <c r="F75" i="9"/>
  <c r="F76" i="9"/>
  <c r="E76" i="9" s="1"/>
  <c r="H76" i="9" s="1"/>
  <c r="F77" i="9"/>
  <c r="F78" i="9"/>
  <c r="F79" i="9"/>
  <c r="G79" i="9" s="1"/>
  <c r="J79" i="9" s="1"/>
  <c r="F80" i="9"/>
  <c r="I80" i="9" s="1"/>
  <c r="F81" i="9"/>
  <c r="F82" i="9"/>
  <c r="G82" i="9" s="1"/>
  <c r="J82" i="9" s="1"/>
  <c r="F83" i="9"/>
  <c r="F84" i="9"/>
  <c r="E84" i="9" s="1"/>
  <c r="H84" i="9" s="1"/>
  <c r="F85" i="9"/>
  <c r="F86" i="9"/>
  <c r="F87" i="9"/>
  <c r="G87" i="9" s="1"/>
  <c r="J87" i="9" s="1"/>
  <c r="F88" i="9"/>
  <c r="E88" i="9" s="1"/>
  <c r="H88" i="9" s="1"/>
  <c r="F89" i="9"/>
  <c r="F90" i="9"/>
  <c r="F91" i="9"/>
  <c r="F92" i="9"/>
  <c r="F93" i="9"/>
  <c r="F94" i="9"/>
  <c r="I94" i="9" s="1"/>
  <c r="F95" i="9"/>
  <c r="G95" i="9" s="1"/>
  <c r="J95" i="9" s="1"/>
  <c r="F96" i="9"/>
  <c r="I96" i="9" s="1"/>
  <c r="F97" i="9"/>
  <c r="F98" i="9"/>
  <c r="G98" i="9" s="1"/>
  <c r="J98" i="9" s="1"/>
  <c r="F99" i="9"/>
  <c r="F100" i="9"/>
  <c r="F101" i="9"/>
  <c r="F102" i="9"/>
  <c r="I102" i="9" s="1"/>
  <c r="F103" i="9"/>
  <c r="F104" i="9"/>
  <c r="G104" i="9" s="1"/>
  <c r="J104" i="9" s="1"/>
  <c r="F105" i="9"/>
  <c r="F106" i="9"/>
  <c r="G106" i="9" s="1"/>
  <c r="J106" i="9" s="1"/>
  <c r="F107" i="9"/>
  <c r="F108" i="9"/>
  <c r="E108" i="9" s="1"/>
  <c r="H108" i="9" s="1"/>
  <c r="F109" i="9"/>
  <c r="F110" i="9"/>
  <c r="G110" i="9" s="1"/>
  <c r="J110" i="9" s="1"/>
  <c r="F111" i="9"/>
  <c r="G111" i="9" s="1"/>
  <c r="J111" i="9" s="1"/>
  <c r="F112" i="9"/>
  <c r="I112" i="9" s="1"/>
  <c r="F113" i="9"/>
  <c r="F114" i="9"/>
  <c r="F115" i="9"/>
  <c r="G115" i="9" s="1"/>
  <c r="J115" i="9" s="1"/>
  <c r="F116" i="9"/>
  <c r="E116" i="9" s="1"/>
  <c r="H116" i="9" s="1"/>
  <c r="F117" i="9"/>
  <c r="F118" i="9"/>
  <c r="I118" i="9" s="1"/>
  <c r="F119" i="9"/>
  <c r="G119" i="9" s="1"/>
  <c r="J119" i="9" s="1"/>
  <c r="F120" i="9"/>
  <c r="I120" i="9" s="1"/>
  <c r="F121" i="9"/>
  <c r="F122" i="9"/>
  <c r="F123" i="9"/>
  <c r="F124" i="9"/>
  <c r="F125" i="9"/>
  <c r="F126" i="9"/>
  <c r="G126" i="9" s="1"/>
  <c r="J126" i="9" s="1"/>
  <c r="F127" i="9"/>
  <c r="F128" i="9"/>
  <c r="F129" i="9"/>
  <c r="F130" i="9"/>
  <c r="G130" i="9" s="1"/>
  <c r="J130" i="9" s="1"/>
  <c r="F131" i="9"/>
  <c r="F132" i="9"/>
  <c r="F133" i="9"/>
  <c r="F134" i="9"/>
  <c r="I134" i="9" s="1"/>
  <c r="F135" i="9"/>
  <c r="F136" i="9"/>
  <c r="F137" i="9"/>
  <c r="F138" i="9"/>
  <c r="G138" i="9" s="1"/>
  <c r="J138" i="9" s="1"/>
  <c r="F139" i="9"/>
  <c r="F140" i="9"/>
  <c r="F141" i="9"/>
  <c r="F142" i="9"/>
  <c r="I142" i="9" s="1"/>
  <c r="F143" i="9"/>
  <c r="F144" i="9"/>
  <c r="F145" i="9"/>
  <c r="F146" i="9"/>
  <c r="G146" i="9" s="1"/>
  <c r="J146" i="9" s="1"/>
  <c r="F147" i="9"/>
  <c r="F148" i="9"/>
  <c r="F149" i="9"/>
  <c r="F150" i="9"/>
  <c r="I150" i="9" s="1"/>
  <c r="F151" i="9"/>
  <c r="E151" i="9" s="1"/>
  <c r="H151" i="9" s="1"/>
  <c r="F152" i="9"/>
  <c r="F153" i="9"/>
  <c r="F154" i="9"/>
  <c r="G154" i="9" s="1"/>
  <c r="J154" i="9" s="1"/>
  <c r="F155" i="9"/>
  <c r="F156" i="9"/>
  <c r="F157" i="9"/>
  <c r="F158" i="9"/>
  <c r="I158" i="9" s="1"/>
  <c r="F159" i="9"/>
  <c r="F160" i="9"/>
  <c r="F161" i="9"/>
  <c r="F162" i="9"/>
  <c r="G162" i="9" s="1"/>
  <c r="J162" i="9" s="1"/>
  <c r="F163" i="9"/>
  <c r="F164" i="9"/>
  <c r="F165" i="9"/>
  <c r="E165" i="9" s="1"/>
  <c r="H165" i="9" s="1"/>
  <c r="F166" i="9"/>
  <c r="I166" i="9" s="1"/>
  <c r="F167" i="9"/>
  <c r="F168" i="9"/>
  <c r="F169" i="9"/>
  <c r="F170" i="9"/>
  <c r="G170" i="9" s="1"/>
  <c r="J170" i="9" s="1"/>
  <c r="F171" i="9"/>
  <c r="F172" i="9"/>
  <c r="F173" i="9"/>
  <c r="F174" i="9"/>
  <c r="I174" i="9" s="1"/>
  <c r="F175" i="9"/>
  <c r="G175" i="9" s="1"/>
  <c r="J175" i="9" s="1"/>
  <c r="F176" i="9"/>
  <c r="I176" i="9" s="1"/>
  <c r="F177" i="9"/>
  <c r="F178" i="9"/>
  <c r="G178" i="9" s="1"/>
  <c r="J178" i="9" s="1"/>
  <c r="F179" i="9"/>
  <c r="F180" i="9"/>
  <c r="E180" i="9" s="1"/>
  <c r="H180" i="9" s="1"/>
  <c r="F181" i="9"/>
  <c r="F182" i="9"/>
  <c r="I182" i="9" s="1"/>
  <c r="F183" i="9"/>
  <c r="I183" i="9" s="1"/>
  <c r="F184" i="9"/>
  <c r="I184" i="9" s="1"/>
  <c r="F185" i="9"/>
  <c r="F186" i="9"/>
  <c r="G186" i="9" s="1"/>
  <c r="J186" i="9" s="1"/>
  <c r="F187" i="9"/>
  <c r="F188" i="9"/>
  <c r="E188" i="9" s="1"/>
  <c r="H188" i="9" s="1"/>
  <c r="F189" i="9"/>
  <c r="F190" i="9"/>
  <c r="G190" i="9" s="1"/>
  <c r="J190" i="9" s="1"/>
  <c r="F191" i="9"/>
  <c r="I191" i="9" s="1"/>
  <c r="F192" i="9"/>
  <c r="I192" i="9" s="1"/>
  <c r="F193" i="9"/>
  <c r="F194" i="9"/>
  <c r="G194" i="9" s="1"/>
  <c r="J194" i="9" s="1"/>
  <c r="M194" i="9" s="1"/>
  <c r="F195" i="9"/>
  <c r="F196" i="9"/>
  <c r="E196" i="9" s="1"/>
  <c r="H196" i="9" s="1"/>
  <c r="F197" i="9"/>
  <c r="E197" i="9" s="1"/>
  <c r="H197" i="9" s="1"/>
  <c r="F198" i="9"/>
  <c r="I198" i="9" s="1"/>
  <c r="F199" i="9"/>
  <c r="E199" i="9" s="1"/>
  <c r="H199" i="9" s="1"/>
  <c r="F200" i="9"/>
  <c r="I200" i="9" s="1"/>
  <c r="F201" i="9"/>
  <c r="F202" i="9"/>
  <c r="G202" i="9" s="1"/>
  <c r="J202" i="9" s="1"/>
  <c r="F203" i="9"/>
  <c r="F204" i="9"/>
  <c r="E204" i="9" s="1"/>
  <c r="H204" i="9" s="1"/>
  <c r="F205" i="9"/>
  <c r="F206" i="9"/>
  <c r="I206" i="9" s="1"/>
  <c r="F207" i="9"/>
  <c r="I207" i="9" s="1"/>
  <c r="F208" i="9"/>
  <c r="E208" i="9" s="1"/>
  <c r="H208" i="9" s="1"/>
  <c r="F209" i="9"/>
  <c r="F210" i="9"/>
  <c r="G210" i="9" s="1"/>
  <c r="J210" i="9" s="1"/>
  <c r="F211" i="9"/>
  <c r="F212" i="9"/>
  <c r="E212" i="9" s="1"/>
  <c r="H212" i="9" s="1"/>
  <c r="F213" i="9"/>
  <c r="F214" i="9"/>
  <c r="I214" i="9" s="1"/>
  <c r="F215" i="9"/>
  <c r="I215" i="9" s="1"/>
  <c r="F216" i="9"/>
  <c r="E216" i="9" s="1"/>
  <c r="H216" i="9" s="1"/>
  <c r="F217" i="9"/>
  <c r="F218" i="9"/>
  <c r="G218" i="9" s="1"/>
  <c r="J218" i="9" s="1"/>
  <c r="F219" i="9"/>
  <c r="F220" i="9"/>
  <c r="E220" i="9" s="1"/>
  <c r="H220" i="9" s="1"/>
  <c r="F221" i="9"/>
  <c r="E221" i="9" s="1"/>
  <c r="H221" i="9" s="1"/>
  <c r="F222" i="9"/>
  <c r="G222" i="9" s="1"/>
  <c r="J222" i="9" s="1"/>
  <c r="F223" i="9"/>
  <c r="I223" i="9" s="1"/>
  <c r="F224" i="9"/>
  <c r="I224" i="9" s="1"/>
  <c r="F225" i="9"/>
  <c r="F226" i="9"/>
  <c r="G226" i="9" s="1"/>
  <c r="J226" i="9" s="1"/>
  <c r="F227" i="9"/>
  <c r="F228" i="9"/>
  <c r="E228" i="9" s="1"/>
  <c r="H228" i="9" s="1"/>
  <c r="F229" i="9"/>
  <c r="E229" i="9" s="1"/>
  <c r="H229" i="9" s="1"/>
  <c r="F230" i="9"/>
  <c r="I230" i="9" s="1"/>
  <c r="F231" i="9"/>
  <c r="I231" i="9" s="1"/>
  <c r="F232" i="9"/>
  <c r="I232" i="9" s="1"/>
  <c r="F233" i="9"/>
  <c r="E233" i="9" s="1"/>
  <c r="H233" i="9" s="1"/>
  <c r="F234" i="9"/>
  <c r="E234" i="9" s="1"/>
  <c r="H234" i="9" s="1"/>
  <c r="F235" i="9"/>
  <c r="F236" i="9"/>
  <c r="E236" i="9" s="1"/>
  <c r="H236" i="9" s="1"/>
  <c r="F237" i="9"/>
  <c r="F238" i="9"/>
  <c r="I238" i="9" s="1"/>
  <c r="F239" i="9"/>
  <c r="I239" i="9" s="1"/>
  <c r="F240" i="9"/>
  <c r="I240" i="9" s="1"/>
  <c r="F241" i="9"/>
  <c r="E241" i="9" s="1"/>
  <c r="H241" i="9" s="1"/>
  <c r="F242" i="9"/>
  <c r="E242" i="9" s="1"/>
  <c r="H242" i="9" s="1"/>
  <c r="K242" i="9" s="1"/>
  <c r="F243" i="9"/>
  <c r="F244" i="9"/>
  <c r="E244" i="9" s="1"/>
  <c r="H244" i="9" s="1"/>
  <c r="F245" i="9"/>
  <c r="F246" i="9"/>
  <c r="G246" i="9" s="1"/>
  <c r="J246" i="9" s="1"/>
  <c r="F247" i="9"/>
  <c r="I247" i="9" s="1"/>
  <c r="F248" i="9"/>
  <c r="I248" i="9" s="1"/>
  <c r="F249" i="9"/>
  <c r="E249" i="9" s="1"/>
  <c r="H249" i="9" s="1"/>
  <c r="F250" i="9"/>
  <c r="E250" i="9" s="1"/>
  <c r="H250" i="9" s="1"/>
  <c r="F251" i="9"/>
  <c r="F252" i="9"/>
  <c r="E252" i="9" s="1"/>
  <c r="H252" i="9" s="1"/>
  <c r="F253" i="9"/>
  <c r="F254" i="9"/>
  <c r="G254" i="9" s="1"/>
  <c r="J254" i="9" s="1"/>
  <c r="F255" i="9"/>
  <c r="I255" i="9" s="1"/>
  <c r="F256" i="9"/>
  <c r="I256" i="9" s="1"/>
  <c r="F257" i="9"/>
  <c r="E257" i="9" s="1"/>
  <c r="H257" i="9" s="1"/>
  <c r="F258" i="9"/>
  <c r="E258" i="9" s="1"/>
  <c r="H258" i="9" s="1"/>
  <c r="F259" i="9"/>
  <c r="F260" i="9"/>
  <c r="E260" i="9" s="1"/>
  <c r="H260" i="9" s="1"/>
  <c r="K260" i="9" s="1"/>
  <c r="F261" i="9"/>
  <c r="F262" i="9"/>
  <c r="G262" i="9" s="1"/>
  <c r="J262" i="9" s="1"/>
  <c r="F263" i="9"/>
  <c r="I263" i="9" s="1"/>
  <c r="F264" i="9"/>
  <c r="I264" i="9" s="1"/>
  <c r="F265" i="9"/>
  <c r="E265" i="9" s="1"/>
  <c r="H265" i="9" s="1"/>
  <c r="F266" i="9"/>
  <c r="E266" i="9" s="1"/>
  <c r="H266" i="9" s="1"/>
  <c r="F267" i="9"/>
  <c r="F268" i="9"/>
  <c r="E268" i="9" s="1"/>
  <c r="H268" i="9" s="1"/>
  <c r="F269" i="9"/>
  <c r="F270" i="9"/>
  <c r="G270" i="9" s="1"/>
  <c r="J270" i="9" s="1"/>
  <c r="F271" i="9"/>
  <c r="I271" i="9" s="1"/>
  <c r="F272" i="9"/>
  <c r="I272" i="9" s="1"/>
  <c r="F273" i="9"/>
  <c r="E273" i="9" s="1"/>
  <c r="H273" i="9" s="1"/>
  <c r="F274" i="9"/>
  <c r="E274" i="9" s="1"/>
  <c r="H274" i="9" s="1"/>
  <c r="F275" i="9"/>
  <c r="F276" i="9"/>
  <c r="E276" i="9" s="1"/>
  <c r="H276" i="9" s="1"/>
  <c r="F277" i="9"/>
  <c r="E277" i="9" s="1"/>
  <c r="H277" i="9" s="1"/>
  <c r="F278" i="9"/>
  <c r="I278" i="9" s="1"/>
  <c r="F279" i="9"/>
  <c r="I279" i="9" s="1"/>
  <c r="F280" i="9"/>
  <c r="I280" i="9" s="1"/>
  <c r="F281" i="9"/>
  <c r="E281" i="9" s="1"/>
  <c r="H281" i="9" s="1"/>
  <c r="F282" i="9"/>
  <c r="E282" i="9" s="1"/>
  <c r="H282" i="9" s="1"/>
  <c r="F283" i="9"/>
  <c r="F284" i="9"/>
  <c r="E284" i="9" s="1"/>
  <c r="H284" i="9" s="1"/>
  <c r="F285" i="9"/>
  <c r="E285" i="9" s="1"/>
  <c r="H285" i="9" s="1"/>
  <c r="F286" i="9"/>
  <c r="G286" i="9" s="1"/>
  <c r="J286" i="9" s="1"/>
  <c r="F287" i="9"/>
  <c r="I287" i="9" s="1"/>
  <c r="F288" i="9"/>
  <c r="I288" i="9" s="1"/>
  <c r="F289" i="9"/>
  <c r="E289" i="9" s="1"/>
  <c r="H289" i="9" s="1"/>
  <c r="F290" i="9"/>
  <c r="E290" i="9" s="1"/>
  <c r="H290" i="9" s="1"/>
  <c r="F291" i="9"/>
  <c r="F292" i="9"/>
  <c r="E292" i="9" s="1"/>
  <c r="H292" i="9" s="1"/>
  <c r="F293" i="9"/>
  <c r="E293" i="9" s="1"/>
  <c r="H293" i="9" s="1"/>
  <c r="F294" i="9"/>
  <c r="I294" i="9" s="1"/>
  <c r="F295" i="9"/>
  <c r="I295" i="9" s="1"/>
  <c r="F296" i="9"/>
  <c r="I296" i="9" s="1"/>
  <c r="F297" i="9"/>
  <c r="E297" i="9" s="1"/>
  <c r="H297" i="9" s="1"/>
  <c r="F298" i="9"/>
  <c r="E298" i="9" s="1"/>
  <c r="H298" i="9" s="1"/>
  <c r="F299" i="9"/>
  <c r="F300" i="9"/>
  <c r="E300" i="9" s="1"/>
  <c r="H300" i="9" s="1"/>
  <c r="F301" i="9"/>
  <c r="E301" i="9" s="1"/>
  <c r="H301" i="9" s="1"/>
  <c r="F302" i="9"/>
  <c r="G302" i="9" s="1"/>
  <c r="J302" i="9" s="1"/>
  <c r="M302" i="9" s="1"/>
  <c r="F303" i="9"/>
  <c r="I303" i="9" s="1"/>
  <c r="F304" i="9"/>
  <c r="I304" i="9" s="1"/>
  <c r="F305" i="9"/>
  <c r="E305" i="9" s="1"/>
  <c r="H305" i="9" s="1"/>
  <c r="F306" i="9"/>
  <c r="E306" i="9" s="1"/>
  <c r="H306" i="9" s="1"/>
  <c r="F307" i="9"/>
  <c r="F308" i="9"/>
  <c r="E308" i="9" s="1"/>
  <c r="H308" i="9" s="1"/>
  <c r="F309" i="9"/>
  <c r="E309" i="9" s="1"/>
  <c r="H309" i="9" s="1"/>
  <c r="F310" i="9"/>
  <c r="I310" i="9" s="1"/>
  <c r="F311" i="9"/>
  <c r="I311" i="9" s="1"/>
  <c r="F312" i="9"/>
  <c r="I312" i="9" s="1"/>
  <c r="F313" i="9"/>
  <c r="E313" i="9" s="1"/>
  <c r="H313" i="9" s="1"/>
  <c r="F314" i="9"/>
  <c r="E314" i="9" s="1"/>
  <c r="H314" i="9" s="1"/>
  <c r="F315" i="9"/>
  <c r="F316" i="9"/>
  <c r="E316" i="9" s="1"/>
  <c r="H316" i="9" s="1"/>
  <c r="F317" i="9"/>
  <c r="E317" i="9" s="1"/>
  <c r="H317" i="9" s="1"/>
  <c r="F318" i="9"/>
  <c r="G318" i="9" s="1"/>
  <c r="J318" i="9" s="1"/>
  <c r="F319" i="9"/>
  <c r="I319" i="9" s="1"/>
  <c r="F320" i="9"/>
  <c r="I320" i="9" s="1"/>
  <c r="F321" i="9"/>
  <c r="E321" i="9" s="1"/>
  <c r="H321" i="9" s="1"/>
  <c r="F322" i="9"/>
  <c r="E322" i="9" s="1"/>
  <c r="H322" i="9" s="1"/>
  <c r="F323" i="9"/>
  <c r="F324" i="9"/>
  <c r="E324" i="9" s="1"/>
  <c r="H324" i="9" s="1"/>
  <c r="F325" i="9"/>
  <c r="E325" i="9" s="1"/>
  <c r="H325" i="9" s="1"/>
  <c r="F326" i="9"/>
  <c r="I326" i="9" s="1"/>
  <c r="F327" i="9"/>
  <c r="I327" i="9" s="1"/>
  <c r="F328" i="9"/>
  <c r="I328" i="9" s="1"/>
  <c r="F5" i="9"/>
  <c r="C33" i="1"/>
  <c r="C34" i="1"/>
  <c r="C35" i="1"/>
  <c r="C36" i="1"/>
  <c r="C32" i="1"/>
  <c r="C28" i="1"/>
  <c r="C29" i="1"/>
  <c r="C30" i="1"/>
  <c r="C31" i="1"/>
  <c r="C27" i="1"/>
  <c r="C23" i="1"/>
  <c r="C24" i="1"/>
  <c r="C25" i="1"/>
  <c r="C26" i="1"/>
  <c r="C22" i="1"/>
  <c r="C18" i="1"/>
  <c r="C19" i="1"/>
  <c r="C20" i="1"/>
  <c r="C21" i="1"/>
  <c r="C17" i="1"/>
  <c r="C13" i="1"/>
  <c r="C14" i="1"/>
  <c r="C15" i="1"/>
  <c r="C16" i="1"/>
  <c r="C12" i="1"/>
  <c r="C8" i="1"/>
  <c r="C9" i="1"/>
  <c r="C10" i="1"/>
  <c r="C11" i="1"/>
  <c r="C7" i="1"/>
  <c r="C3" i="1"/>
  <c r="C4" i="1"/>
  <c r="C5" i="1"/>
  <c r="C6" i="1"/>
  <c r="C2" i="1"/>
  <c r="S290" i="10" l="1"/>
  <c r="S292" i="10"/>
  <c r="S291" i="10"/>
  <c r="S293" i="10"/>
  <c r="E9" i="11"/>
  <c r="E10" i="11"/>
  <c r="E8" i="11"/>
  <c r="K301" i="9"/>
  <c r="G328" i="9"/>
  <c r="J328" i="9" s="1"/>
  <c r="G112" i="9"/>
  <c r="J112" i="9" s="1"/>
  <c r="G40" i="9"/>
  <c r="J40" i="9" s="1"/>
  <c r="E112" i="9"/>
  <c r="H112" i="9" s="1"/>
  <c r="G80" i="9"/>
  <c r="J80" i="9" s="1"/>
  <c r="G176" i="9"/>
  <c r="J176" i="9" s="1"/>
  <c r="E182" i="9"/>
  <c r="H182" i="9" s="1"/>
  <c r="G266" i="9"/>
  <c r="J266" i="9" s="1"/>
  <c r="M266" i="9" s="1"/>
  <c r="E80" i="9"/>
  <c r="H80" i="9" s="1"/>
  <c r="K80" i="9" s="1"/>
  <c r="G72" i="9"/>
  <c r="J72" i="9" s="1"/>
  <c r="E279" i="9"/>
  <c r="H279" i="9" s="1"/>
  <c r="G255" i="9"/>
  <c r="J255" i="9" s="1"/>
  <c r="G216" i="9"/>
  <c r="J216" i="9" s="1"/>
  <c r="G166" i="9"/>
  <c r="J166" i="9" s="1"/>
  <c r="G192" i="9"/>
  <c r="J192" i="9" s="1"/>
  <c r="E246" i="9"/>
  <c r="H246" i="9" s="1"/>
  <c r="E294" i="9"/>
  <c r="H294" i="9" s="1"/>
  <c r="G250" i="9"/>
  <c r="J250" i="9" s="1"/>
  <c r="G200" i="9"/>
  <c r="J200" i="9" s="1"/>
  <c r="G55" i="9"/>
  <c r="J55" i="9" s="1"/>
  <c r="G48" i="9"/>
  <c r="J48" i="9" s="1"/>
  <c r="E120" i="9"/>
  <c r="H120" i="9" s="1"/>
  <c r="G303" i="9"/>
  <c r="J303" i="9" s="1"/>
  <c r="E247" i="9"/>
  <c r="H247" i="9" s="1"/>
  <c r="E262" i="9"/>
  <c r="H262" i="9" s="1"/>
  <c r="E183" i="9"/>
  <c r="H183" i="9" s="1"/>
  <c r="E54" i="9"/>
  <c r="H54" i="9" s="1"/>
  <c r="G22" i="9"/>
  <c r="J22" i="9" s="1"/>
  <c r="G306" i="9"/>
  <c r="J306" i="9" s="1"/>
  <c r="E206" i="9"/>
  <c r="H206" i="9" s="1"/>
  <c r="K206" i="9" s="1"/>
  <c r="E166" i="9"/>
  <c r="H166" i="9" s="1"/>
  <c r="G158" i="9"/>
  <c r="J158" i="9" s="1"/>
  <c r="G96" i="9"/>
  <c r="J96" i="9" s="1"/>
  <c r="E72" i="9"/>
  <c r="H72" i="9" s="1"/>
  <c r="K72" i="9" s="1"/>
  <c r="G47" i="9"/>
  <c r="J47" i="9" s="1"/>
  <c r="M47" i="9" s="1"/>
  <c r="G14" i="9"/>
  <c r="J14" i="9" s="1"/>
  <c r="M14" i="9" s="1"/>
  <c r="G326" i="9"/>
  <c r="J326" i="9" s="1"/>
  <c r="M326" i="9" s="1"/>
  <c r="G298" i="9"/>
  <c r="J298" i="9" s="1"/>
  <c r="E254" i="9"/>
  <c r="H254" i="9" s="1"/>
  <c r="E158" i="9"/>
  <c r="H158" i="9" s="1"/>
  <c r="K158" i="9" s="1"/>
  <c r="I317" i="9"/>
  <c r="G271" i="9"/>
  <c r="J271" i="9" s="1"/>
  <c r="E222" i="9"/>
  <c r="H222" i="9" s="1"/>
  <c r="E198" i="9"/>
  <c r="H198" i="9" s="1"/>
  <c r="G191" i="9"/>
  <c r="J191" i="9" s="1"/>
  <c r="G174" i="9"/>
  <c r="J174" i="9" s="1"/>
  <c r="E142" i="9"/>
  <c r="H142" i="9" s="1"/>
  <c r="G94" i="9"/>
  <c r="J94" i="9" s="1"/>
  <c r="I246" i="9"/>
  <c r="G296" i="9"/>
  <c r="J296" i="9" s="1"/>
  <c r="G256" i="9"/>
  <c r="J256" i="9" s="1"/>
  <c r="E214" i="9"/>
  <c r="H214" i="9" s="1"/>
  <c r="E174" i="9"/>
  <c r="H174" i="9" s="1"/>
  <c r="E39" i="9"/>
  <c r="H39" i="9" s="1"/>
  <c r="I197" i="9"/>
  <c r="G327" i="9"/>
  <c r="J327" i="9" s="1"/>
  <c r="G288" i="9"/>
  <c r="J288" i="9" s="1"/>
  <c r="G258" i="9"/>
  <c r="J258" i="9" s="1"/>
  <c r="G248" i="9"/>
  <c r="J248" i="9" s="1"/>
  <c r="M248" i="9" s="1"/>
  <c r="G223" i="9"/>
  <c r="J223" i="9" s="1"/>
  <c r="G208" i="9"/>
  <c r="J208" i="9" s="1"/>
  <c r="G150" i="9"/>
  <c r="J150" i="9" s="1"/>
  <c r="E134" i="9"/>
  <c r="H134" i="9" s="1"/>
  <c r="K134" i="9" s="1"/>
  <c r="E102" i="9"/>
  <c r="H102" i="9" s="1"/>
  <c r="E62" i="9"/>
  <c r="H62" i="9" s="1"/>
  <c r="G56" i="9"/>
  <c r="J56" i="9" s="1"/>
  <c r="M56" i="9" s="1"/>
  <c r="E38" i="9"/>
  <c r="H38" i="9" s="1"/>
  <c r="I318" i="9"/>
  <c r="I250" i="9"/>
  <c r="I208" i="9"/>
  <c r="E327" i="9"/>
  <c r="H327" i="9" s="1"/>
  <c r="G322" i="9"/>
  <c r="J322" i="9" s="1"/>
  <c r="E318" i="9"/>
  <c r="H318" i="9" s="1"/>
  <c r="G312" i="9"/>
  <c r="J312" i="9" s="1"/>
  <c r="G287" i="9"/>
  <c r="J287" i="9" s="1"/>
  <c r="G282" i="9"/>
  <c r="J282" i="9" s="1"/>
  <c r="E278" i="9"/>
  <c r="H278" i="9" s="1"/>
  <c r="G272" i="9"/>
  <c r="J272" i="9" s="1"/>
  <c r="G242" i="9"/>
  <c r="J242" i="9" s="1"/>
  <c r="E238" i="9"/>
  <c r="H238" i="9" s="1"/>
  <c r="G232" i="9"/>
  <c r="J232" i="9" s="1"/>
  <c r="G207" i="9"/>
  <c r="J207" i="9" s="1"/>
  <c r="E150" i="9"/>
  <c r="H150" i="9" s="1"/>
  <c r="E46" i="9"/>
  <c r="H46" i="9" s="1"/>
  <c r="I277" i="9"/>
  <c r="G142" i="9"/>
  <c r="J142" i="9" s="1"/>
  <c r="E110" i="9"/>
  <c r="H110" i="9" s="1"/>
  <c r="E7" i="9"/>
  <c r="H7" i="9" s="1"/>
  <c r="I293" i="9"/>
  <c r="I274" i="9"/>
  <c r="I233" i="9"/>
  <c r="E302" i="9"/>
  <c r="H302" i="9" s="1"/>
  <c r="G118" i="9"/>
  <c r="J118" i="9" s="1"/>
  <c r="E70" i="9"/>
  <c r="H70" i="9" s="1"/>
  <c r="G64" i="9"/>
  <c r="J64" i="9" s="1"/>
  <c r="G39" i="9"/>
  <c r="J39" i="9" s="1"/>
  <c r="G6" i="9"/>
  <c r="J6" i="9" s="1"/>
  <c r="I309" i="9"/>
  <c r="I290" i="9"/>
  <c r="E326" i="9"/>
  <c r="H326" i="9" s="1"/>
  <c r="G320" i="9"/>
  <c r="J320" i="9" s="1"/>
  <c r="M320" i="9" s="1"/>
  <c r="E311" i="9"/>
  <c r="H311" i="9" s="1"/>
  <c r="G290" i="9"/>
  <c r="J290" i="9" s="1"/>
  <c r="M290" i="9" s="1"/>
  <c r="E286" i="9"/>
  <c r="H286" i="9" s="1"/>
  <c r="G280" i="9"/>
  <c r="J280" i="9" s="1"/>
  <c r="G240" i="9"/>
  <c r="J240" i="9" s="1"/>
  <c r="I306" i="9"/>
  <c r="I286" i="9"/>
  <c r="I262" i="9"/>
  <c r="I222" i="9"/>
  <c r="L222" i="9" s="1"/>
  <c r="E230" i="9"/>
  <c r="H230" i="9" s="1"/>
  <c r="G224" i="9"/>
  <c r="J224" i="9" s="1"/>
  <c r="E215" i="9"/>
  <c r="H215" i="9" s="1"/>
  <c r="K215" i="9" s="1"/>
  <c r="E190" i="9"/>
  <c r="H190" i="9" s="1"/>
  <c r="G184" i="9"/>
  <c r="J184" i="9" s="1"/>
  <c r="G134" i="9"/>
  <c r="J134" i="9" s="1"/>
  <c r="E118" i="9"/>
  <c r="H118" i="9" s="1"/>
  <c r="K118" i="9" s="1"/>
  <c r="G102" i="9"/>
  <c r="J102" i="9" s="1"/>
  <c r="I325" i="9"/>
  <c r="I302" i="9"/>
  <c r="I285" i="9"/>
  <c r="I257" i="9"/>
  <c r="I221" i="9"/>
  <c r="I22" i="9"/>
  <c r="L22" i="9" s="1"/>
  <c r="G319" i="9"/>
  <c r="J319" i="9" s="1"/>
  <c r="G314" i="9"/>
  <c r="J314" i="9" s="1"/>
  <c r="E310" i="9"/>
  <c r="H310" i="9" s="1"/>
  <c r="G304" i="9"/>
  <c r="J304" i="9" s="1"/>
  <c r="G274" i="9"/>
  <c r="J274" i="9" s="1"/>
  <c r="E270" i="9"/>
  <c r="H270" i="9" s="1"/>
  <c r="G264" i="9"/>
  <c r="J264" i="9" s="1"/>
  <c r="G239" i="9"/>
  <c r="J239" i="9" s="1"/>
  <c r="M239" i="9" s="1"/>
  <c r="G234" i="9"/>
  <c r="J234" i="9" s="1"/>
  <c r="I322" i="9"/>
  <c r="I301" i="9"/>
  <c r="I254" i="9"/>
  <c r="I216" i="9"/>
  <c r="I14" i="9"/>
  <c r="G92" i="9"/>
  <c r="J92" i="9" s="1"/>
  <c r="I92" i="9"/>
  <c r="G43" i="9"/>
  <c r="J43" i="9" s="1"/>
  <c r="I43" i="9"/>
  <c r="I199" i="9"/>
  <c r="G283" i="9"/>
  <c r="J283" i="9" s="1"/>
  <c r="I283" i="9"/>
  <c r="G251" i="9"/>
  <c r="J251" i="9" s="1"/>
  <c r="I251" i="9"/>
  <c r="G219" i="9"/>
  <c r="J219" i="9" s="1"/>
  <c r="I219" i="9"/>
  <c r="G187" i="9"/>
  <c r="J187" i="9" s="1"/>
  <c r="I187" i="9"/>
  <c r="I167" i="9"/>
  <c r="G167" i="9"/>
  <c r="J167" i="9" s="1"/>
  <c r="G135" i="9"/>
  <c r="J135" i="9" s="1"/>
  <c r="I135" i="9"/>
  <c r="E173" i="9"/>
  <c r="H173" i="9" s="1"/>
  <c r="I173" i="9"/>
  <c r="E167" i="9"/>
  <c r="H167" i="9" s="1"/>
  <c r="E162" i="9"/>
  <c r="H162" i="9" s="1"/>
  <c r="I162" i="9"/>
  <c r="E157" i="9"/>
  <c r="H157" i="9" s="1"/>
  <c r="I157" i="9"/>
  <c r="E146" i="9"/>
  <c r="H146" i="9" s="1"/>
  <c r="I146" i="9"/>
  <c r="E141" i="9"/>
  <c r="H141" i="9" s="1"/>
  <c r="I141" i="9"/>
  <c r="E135" i="9"/>
  <c r="H135" i="9" s="1"/>
  <c r="E130" i="9"/>
  <c r="H130" i="9" s="1"/>
  <c r="I130" i="9"/>
  <c r="E113" i="9"/>
  <c r="H113" i="9" s="1"/>
  <c r="I113" i="9"/>
  <c r="E109" i="9"/>
  <c r="H109" i="9" s="1"/>
  <c r="I109" i="9"/>
  <c r="I104" i="9"/>
  <c r="E104" i="9"/>
  <c r="H104" i="9" s="1"/>
  <c r="G67" i="9"/>
  <c r="J67" i="9" s="1"/>
  <c r="I67" i="9"/>
  <c r="E63" i="9"/>
  <c r="H63" i="9" s="1"/>
  <c r="G35" i="9"/>
  <c r="J35" i="9" s="1"/>
  <c r="I35" i="9"/>
  <c r="I30" i="9"/>
  <c r="E30" i="9"/>
  <c r="H30" i="9" s="1"/>
  <c r="G139" i="9"/>
  <c r="J139" i="9" s="1"/>
  <c r="I139" i="9"/>
  <c r="E122" i="9"/>
  <c r="H122" i="9" s="1"/>
  <c r="I122" i="9"/>
  <c r="G315" i="9"/>
  <c r="J315" i="9" s="1"/>
  <c r="I315" i="9"/>
  <c r="I151" i="9"/>
  <c r="G151" i="9"/>
  <c r="J151" i="9" s="1"/>
  <c r="G124" i="9"/>
  <c r="J124" i="9" s="1"/>
  <c r="I124" i="9"/>
  <c r="E124" i="9"/>
  <c r="H124" i="9" s="1"/>
  <c r="E114" i="9"/>
  <c r="H114" i="9" s="1"/>
  <c r="I114" i="9"/>
  <c r="G114" i="9"/>
  <c r="J114" i="9" s="1"/>
  <c r="I88" i="9"/>
  <c r="G88" i="9"/>
  <c r="J88" i="9" s="1"/>
  <c r="G83" i="9"/>
  <c r="J83" i="9" s="1"/>
  <c r="I83" i="9"/>
  <c r="G78" i="9"/>
  <c r="J78" i="9" s="1"/>
  <c r="I78" i="9"/>
  <c r="E78" i="9"/>
  <c r="H78" i="9" s="1"/>
  <c r="I24" i="9"/>
  <c r="G24" i="9"/>
  <c r="J24" i="9" s="1"/>
  <c r="E24" i="9"/>
  <c r="H24" i="9" s="1"/>
  <c r="G323" i="9"/>
  <c r="J323" i="9" s="1"/>
  <c r="M323" i="9" s="1"/>
  <c r="I323" i="9"/>
  <c r="E319" i="9"/>
  <c r="H319" i="9" s="1"/>
  <c r="G295" i="9"/>
  <c r="J295" i="9" s="1"/>
  <c r="G291" i="9"/>
  <c r="J291" i="9" s="1"/>
  <c r="I291" i="9"/>
  <c r="E287" i="9"/>
  <c r="H287" i="9" s="1"/>
  <c r="L287" i="9" s="1"/>
  <c r="G263" i="9"/>
  <c r="J263" i="9" s="1"/>
  <c r="G259" i="9"/>
  <c r="J259" i="9" s="1"/>
  <c r="I259" i="9"/>
  <c r="E255" i="9"/>
  <c r="H255" i="9" s="1"/>
  <c r="G231" i="9"/>
  <c r="J231" i="9" s="1"/>
  <c r="G227" i="9"/>
  <c r="J227" i="9" s="1"/>
  <c r="I227" i="9"/>
  <c r="E223" i="9"/>
  <c r="H223" i="9" s="1"/>
  <c r="G199" i="9"/>
  <c r="J199" i="9" s="1"/>
  <c r="G195" i="9"/>
  <c r="J195" i="9" s="1"/>
  <c r="I195" i="9"/>
  <c r="E191" i="9"/>
  <c r="H191" i="9" s="1"/>
  <c r="G122" i="9"/>
  <c r="J122" i="9" s="1"/>
  <c r="M122" i="9" s="1"/>
  <c r="E103" i="9"/>
  <c r="H103" i="9" s="1"/>
  <c r="I103" i="9"/>
  <c r="G103" i="9"/>
  <c r="J103" i="9" s="1"/>
  <c r="E93" i="9"/>
  <c r="H93" i="9" s="1"/>
  <c r="I93" i="9"/>
  <c r="E81" i="9"/>
  <c r="H81" i="9" s="1"/>
  <c r="K81" i="9" s="1"/>
  <c r="I81" i="9"/>
  <c r="G76" i="9"/>
  <c r="J76" i="9" s="1"/>
  <c r="I76" i="9"/>
  <c r="G11" i="9"/>
  <c r="J11" i="9" s="1"/>
  <c r="I11" i="9"/>
  <c r="I165" i="9"/>
  <c r="I110" i="9"/>
  <c r="L110" i="9" s="1"/>
  <c r="I51" i="9"/>
  <c r="G171" i="9"/>
  <c r="J171" i="9" s="1"/>
  <c r="I171" i="9"/>
  <c r="G155" i="9"/>
  <c r="J155" i="9" s="1"/>
  <c r="I155" i="9"/>
  <c r="E71" i="9"/>
  <c r="H71" i="9" s="1"/>
  <c r="I71" i="9"/>
  <c r="G299" i="9"/>
  <c r="J299" i="9" s="1"/>
  <c r="M299" i="9" s="1"/>
  <c r="I299" i="9"/>
  <c r="E295" i="9"/>
  <c r="H295" i="9" s="1"/>
  <c r="K295" i="9" s="1"/>
  <c r="G267" i="9"/>
  <c r="J267" i="9" s="1"/>
  <c r="I267" i="9"/>
  <c r="E263" i="9"/>
  <c r="H263" i="9" s="1"/>
  <c r="G235" i="9"/>
  <c r="J235" i="9" s="1"/>
  <c r="I235" i="9"/>
  <c r="E231" i="9"/>
  <c r="H231" i="9" s="1"/>
  <c r="G203" i="9"/>
  <c r="J203" i="9" s="1"/>
  <c r="M203" i="9" s="1"/>
  <c r="I203" i="9"/>
  <c r="I159" i="9"/>
  <c r="G159" i="9"/>
  <c r="J159" i="9" s="1"/>
  <c r="I143" i="9"/>
  <c r="G143" i="9"/>
  <c r="J143" i="9" s="1"/>
  <c r="M143" i="9" s="1"/>
  <c r="E127" i="9"/>
  <c r="H127" i="9" s="1"/>
  <c r="I127" i="9"/>
  <c r="G127" i="9"/>
  <c r="J127" i="9" s="1"/>
  <c r="E121" i="9"/>
  <c r="H121" i="9" s="1"/>
  <c r="I121" i="9"/>
  <c r="G107" i="9"/>
  <c r="J107" i="9" s="1"/>
  <c r="I107" i="9"/>
  <c r="E92" i="9"/>
  <c r="H92" i="9" s="1"/>
  <c r="G86" i="9"/>
  <c r="J86" i="9" s="1"/>
  <c r="I86" i="9"/>
  <c r="E86" i="9"/>
  <c r="H86" i="9" s="1"/>
  <c r="G75" i="9"/>
  <c r="J75" i="9" s="1"/>
  <c r="I75" i="9"/>
  <c r="G27" i="9"/>
  <c r="J27" i="9" s="1"/>
  <c r="I27" i="9"/>
  <c r="E175" i="9"/>
  <c r="H175" i="9" s="1"/>
  <c r="I175" i="9"/>
  <c r="E170" i="9"/>
  <c r="H170" i="9" s="1"/>
  <c r="I170" i="9"/>
  <c r="E159" i="9"/>
  <c r="H159" i="9" s="1"/>
  <c r="E154" i="9"/>
  <c r="H154" i="9" s="1"/>
  <c r="I154" i="9"/>
  <c r="E149" i="9"/>
  <c r="H149" i="9" s="1"/>
  <c r="I149" i="9"/>
  <c r="E143" i="9"/>
  <c r="H143" i="9" s="1"/>
  <c r="E138" i="9"/>
  <c r="H138" i="9" s="1"/>
  <c r="I138" i="9"/>
  <c r="E133" i="9"/>
  <c r="H133" i="9" s="1"/>
  <c r="I133" i="9"/>
  <c r="E47" i="9"/>
  <c r="H47" i="9" s="1"/>
  <c r="K47" i="9" s="1"/>
  <c r="G32" i="9"/>
  <c r="J32" i="9" s="1"/>
  <c r="M32" i="9" s="1"/>
  <c r="I32" i="9"/>
  <c r="E32" i="9"/>
  <c r="H32" i="9" s="1"/>
  <c r="I5" i="9"/>
  <c r="G5" i="9"/>
  <c r="J5" i="9" s="1"/>
  <c r="E5" i="9"/>
  <c r="H5" i="9" s="1"/>
  <c r="G311" i="9"/>
  <c r="J311" i="9" s="1"/>
  <c r="M311" i="9" s="1"/>
  <c r="G307" i="9"/>
  <c r="J307" i="9" s="1"/>
  <c r="I307" i="9"/>
  <c r="E303" i="9"/>
  <c r="H303" i="9" s="1"/>
  <c r="G279" i="9"/>
  <c r="J279" i="9" s="1"/>
  <c r="M279" i="9" s="1"/>
  <c r="G275" i="9"/>
  <c r="J275" i="9" s="1"/>
  <c r="M275" i="9" s="1"/>
  <c r="I275" i="9"/>
  <c r="E271" i="9"/>
  <c r="H271" i="9" s="1"/>
  <c r="G247" i="9"/>
  <c r="J247" i="9" s="1"/>
  <c r="G243" i="9"/>
  <c r="J243" i="9" s="1"/>
  <c r="I243" i="9"/>
  <c r="E239" i="9"/>
  <c r="H239" i="9" s="1"/>
  <c r="G215" i="9"/>
  <c r="J215" i="9" s="1"/>
  <c r="M215" i="9" s="1"/>
  <c r="G211" i="9"/>
  <c r="J211" i="9" s="1"/>
  <c r="I211" i="9"/>
  <c r="E207" i="9"/>
  <c r="H207" i="9" s="1"/>
  <c r="K207" i="9" s="1"/>
  <c r="G183" i="9"/>
  <c r="J183" i="9" s="1"/>
  <c r="M183" i="9" s="1"/>
  <c r="G179" i="9"/>
  <c r="J179" i="9" s="1"/>
  <c r="M179" i="9" s="1"/>
  <c r="I179" i="9"/>
  <c r="I126" i="9"/>
  <c r="E126" i="9"/>
  <c r="H126" i="9" s="1"/>
  <c r="E101" i="9"/>
  <c r="H101" i="9" s="1"/>
  <c r="I101" i="9"/>
  <c r="E96" i="9"/>
  <c r="H96" i="9" s="1"/>
  <c r="K96" i="9" s="1"/>
  <c r="E90" i="9"/>
  <c r="H90" i="9" s="1"/>
  <c r="I90" i="9"/>
  <c r="G90" i="9"/>
  <c r="J90" i="9" s="1"/>
  <c r="G84" i="9"/>
  <c r="J84" i="9" s="1"/>
  <c r="I84" i="9"/>
  <c r="E73" i="9"/>
  <c r="H73" i="9" s="1"/>
  <c r="I73" i="9"/>
  <c r="G20" i="9"/>
  <c r="J20" i="9" s="1"/>
  <c r="I20" i="9"/>
  <c r="E20" i="9"/>
  <c r="H20" i="9" s="1"/>
  <c r="G8" i="9"/>
  <c r="J8" i="9" s="1"/>
  <c r="E8" i="9"/>
  <c r="H8" i="9" s="1"/>
  <c r="I160" i="9"/>
  <c r="G160" i="9"/>
  <c r="J160" i="9" s="1"/>
  <c r="E160" i="9"/>
  <c r="H160" i="9" s="1"/>
  <c r="G144" i="9"/>
  <c r="J144" i="9" s="1"/>
  <c r="I144" i="9"/>
  <c r="E144" i="9"/>
  <c r="H144" i="9" s="1"/>
  <c r="I128" i="9"/>
  <c r="G128" i="9"/>
  <c r="J128" i="9" s="1"/>
  <c r="E128" i="9"/>
  <c r="H128" i="9" s="1"/>
  <c r="G16" i="9"/>
  <c r="J16" i="9" s="1"/>
  <c r="E16" i="9"/>
  <c r="H16" i="9" s="1"/>
  <c r="I168" i="9"/>
  <c r="G168" i="9"/>
  <c r="J168" i="9" s="1"/>
  <c r="E168" i="9"/>
  <c r="H168" i="9" s="1"/>
  <c r="G163" i="9"/>
  <c r="J163" i="9" s="1"/>
  <c r="I163" i="9"/>
  <c r="G152" i="9"/>
  <c r="J152" i="9" s="1"/>
  <c r="I152" i="9"/>
  <c r="E152" i="9"/>
  <c r="H152" i="9" s="1"/>
  <c r="G147" i="9"/>
  <c r="J147" i="9" s="1"/>
  <c r="I147" i="9"/>
  <c r="I136" i="9"/>
  <c r="G136" i="9"/>
  <c r="J136" i="9" s="1"/>
  <c r="E136" i="9"/>
  <c r="H136" i="9" s="1"/>
  <c r="G131" i="9"/>
  <c r="J131" i="9" s="1"/>
  <c r="I131" i="9"/>
  <c r="E105" i="9"/>
  <c r="H105" i="9" s="1"/>
  <c r="I105" i="9"/>
  <c r="G100" i="9"/>
  <c r="J100" i="9" s="1"/>
  <c r="I100" i="9"/>
  <c r="E100" i="9"/>
  <c r="H100" i="9" s="1"/>
  <c r="I79" i="9"/>
  <c r="E79" i="9"/>
  <c r="H79" i="9" s="1"/>
  <c r="G63" i="9"/>
  <c r="J63" i="9" s="1"/>
  <c r="G59" i="9"/>
  <c r="J59" i="9" s="1"/>
  <c r="M59" i="9" s="1"/>
  <c r="I59" i="9"/>
  <c r="E55" i="9"/>
  <c r="H55" i="9" s="1"/>
  <c r="E25" i="9"/>
  <c r="H25" i="9" s="1"/>
  <c r="I25" i="9"/>
  <c r="G19" i="9"/>
  <c r="J19" i="9" s="1"/>
  <c r="I19" i="9"/>
  <c r="E261" i="9"/>
  <c r="H261" i="9" s="1"/>
  <c r="I261" i="9"/>
  <c r="E253" i="9"/>
  <c r="H253" i="9" s="1"/>
  <c r="I253" i="9"/>
  <c r="E245" i="9"/>
  <c r="H245" i="9" s="1"/>
  <c r="I245" i="9"/>
  <c r="E237" i="9"/>
  <c r="H237" i="9" s="1"/>
  <c r="I237" i="9"/>
  <c r="E213" i="9"/>
  <c r="H213" i="9" s="1"/>
  <c r="I213" i="9"/>
  <c r="E205" i="9"/>
  <c r="H205" i="9" s="1"/>
  <c r="I205" i="9"/>
  <c r="E189" i="9"/>
  <c r="H189" i="9" s="1"/>
  <c r="I189" i="9"/>
  <c r="E181" i="9"/>
  <c r="H181" i="9" s="1"/>
  <c r="I181" i="9"/>
  <c r="G172" i="9"/>
  <c r="J172" i="9" s="1"/>
  <c r="I172" i="9"/>
  <c r="G164" i="9"/>
  <c r="J164" i="9" s="1"/>
  <c r="I164" i="9"/>
  <c r="G156" i="9"/>
  <c r="J156" i="9" s="1"/>
  <c r="I156" i="9"/>
  <c r="G148" i="9"/>
  <c r="J148" i="9" s="1"/>
  <c r="I148" i="9"/>
  <c r="G140" i="9"/>
  <c r="J140" i="9" s="1"/>
  <c r="I140" i="9"/>
  <c r="G132" i="9"/>
  <c r="J132" i="9" s="1"/>
  <c r="I132" i="9"/>
  <c r="E111" i="9"/>
  <c r="H111" i="9" s="1"/>
  <c r="I111" i="9"/>
  <c r="E98" i="9"/>
  <c r="H98" i="9" s="1"/>
  <c r="I98" i="9"/>
  <c r="E89" i="9"/>
  <c r="H89" i="9" s="1"/>
  <c r="I89" i="9"/>
  <c r="E69" i="9"/>
  <c r="H69" i="9" s="1"/>
  <c r="I69" i="9"/>
  <c r="E61" i="9"/>
  <c r="H61" i="9" s="1"/>
  <c r="I61" i="9"/>
  <c r="E53" i="9"/>
  <c r="H53" i="9" s="1"/>
  <c r="I53" i="9"/>
  <c r="E45" i="9"/>
  <c r="H45" i="9" s="1"/>
  <c r="I45" i="9"/>
  <c r="E37" i="9"/>
  <c r="H37" i="9" s="1"/>
  <c r="I37" i="9"/>
  <c r="I314" i="9"/>
  <c r="I298" i="9"/>
  <c r="I282" i="9"/>
  <c r="K282" i="9" s="1"/>
  <c r="I249" i="9"/>
  <c r="I242" i="9"/>
  <c r="I115" i="9"/>
  <c r="I40" i="9"/>
  <c r="L40" i="9" s="1"/>
  <c r="E269" i="9"/>
  <c r="H269" i="9" s="1"/>
  <c r="I269" i="9"/>
  <c r="E328" i="9"/>
  <c r="H328" i="9" s="1"/>
  <c r="G324" i="9"/>
  <c r="J324" i="9" s="1"/>
  <c r="I324" i="9"/>
  <c r="E320" i="9"/>
  <c r="H320" i="9" s="1"/>
  <c r="G316" i="9"/>
  <c r="J316" i="9" s="1"/>
  <c r="I316" i="9"/>
  <c r="E312" i="9"/>
  <c r="H312" i="9" s="1"/>
  <c r="G308" i="9"/>
  <c r="J308" i="9" s="1"/>
  <c r="I308" i="9"/>
  <c r="E304" i="9"/>
  <c r="H304" i="9" s="1"/>
  <c r="G300" i="9"/>
  <c r="J300" i="9" s="1"/>
  <c r="M300" i="9" s="1"/>
  <c r="I300" i="9"/>
  <c r="E296" i="9"/>
  <c r="H296" i="9" s="1"/>
  <c r="G292" i="9"/>
  <c r="J292" i="9" s="1"/>
  <c r="M292" i="9" s="1"/>
  <c r="I292" i="9"/>
  <c r="E288" i="9"/>
  <c r="H288" i="9" s="1"/>
  <c r="G284" i="9"/>
  <c r="J284" i="9" s="1"/>
  <c r="M284" i="9" s="1"/>
  <c r="I284" i="9"/>
  <c r="E280" i="9"/>
  <c r="H280" i="9" s="1"/>
  <c r="G276" i="9"/>
  <c r="J276" i="9" s="1"/>
  <c r="I276" i="9"/>
  <c r="E272" i="9"/>
  <c r="H272" i="9" s="1"/>
  <c r="G268" i="9"/>
  <c r="J268" i="9" s="1"/>
  <c r="I268" i="9"/>
  <c r="E264" i="9"/>
  <c r="H264" i="9" s="1"/>
  <c r="K264" i="9" s="1"/>
  <c r="G260" i="9"/>
  <c r="J260" i="9" s="1"/>
  <c r="I260" i="9"/>
  <c r="E256" i="9"/>
  <c r="H256" i="9" s="1"/>
  <c r="K256" i="9" s="1"/>
  <c r="G252" i="9"/>
  <c r="J252" i="9" s="1"/>
  <c r="I252" i="9"/>
  <c r="E248" i="9"/>
  <c r="H248" i="9" s="1"/>
  <c r="K248" i="9" s="1"/>
  <c r="G244" i="9"/>
  <c r="J244" i="9" s="1"/>
  <c r="I244" i="9"/>
  <c r="E240" i="9"/>
  <c r="H240" i="9" s="1"/>
  <c r="G236" i="9"/>
  <c r="J236" i="9" s="1"/>
  <c r="I236" i="9"/>
  <c r="E232" i="9"/>
  <c r="H232" i="9" s="1"/>
  <c r="K232" i="9" s="1"/>
  <c r="G228" i="9"/>
  <c r="J228" i="9" s="1"/>
  <c r="I228" i="9"/>
  <c r="E224" i="9"/>
  <c r="H224" i="9" s="1"/>
  <c r="K224" i="9" s="1"/>
  <c r="G220" i="9"/>
  <c r="J220" i="9" s="1"/>
  <c r="I220" i="9"/>
  <c r="G212" i="9"/>
  <c r="J212" i="9" s="1"/>
  <c r="M212" i="9" s="1"/>
  <c r="I212" i="9"/>
  <c r="G204" i="9"/>
  <c r="J204" i="9" s="1"/>
  <c r="I204" i="9"/>
  <c r="E200" i="9"/>
  <c r="H200" i="9" s="1"/>
  <c r="K200" i="9" s="1"/>
  <c r="G196" i="9"/>
  <c r="J196" i="9" s="1"/>
  <c r="I196" i="9"/>
  <c r="E192" i="9"/>
  <c r="H192" i="9" s="1"/>
  <c r="G188" i="9"/>
  <c r="J188" i="9" s="1"/>
  <c r="M188" i="9" s="1"/>
  <c r="I188" i="9"/>
  <c r="E184" i="9"/>
  <c r="H184" i="9" s="1"/>
  <c r="K184" i="9" s="1"/>
  <c r="G180" i="9"/>
  <c r="J180" i="9" s="1"/>
  <c r="M180" i="9" s="1"/>
  <c r="I180" i="9"/>
  <c r="E176" i="9"/>
  <c r="H176" i="9" s="1"/>
  <c r="K176" i="9" s="1"/>
  <c r="E172" i="9"/>
  <c r="H172" i="9" s="1"/>
  <c r="E164" i="9"/>
  <c r="H164" i="9" s="1"/>
  <c r="E156" i="9"/>
  <c r="H156" i="9" s="1"/>
  <c r="E148" i="9"/>
  <c r="H148" i="9" s="1"/>
  <c r="E140" i="9"/>
  <c r="H140" i="9" s="1"/>
  <c r="E132" i="9"/>
  <c r="H132" i="9" s="1"/>
  <c r="K132" i="9" s="1"/>
  <c r="G123" i="9"/>
  <c r="J123" i="9" s="1"/>
  <c r="I123" i="9"/>
  <c r="E119" i="9"/>
  <c r="H119" i="9" s="1"/>
  <c r="I119" i="9"/>
  <c r="E106" i="9"/>
  <c r="H106" i="9" s="1"/>
  <c r="I106" i="9"/>
  <c r="E97" i="9"/>
  <c r="H97" i="9" s="1"/>
  <c r="I97" i="9"/>
  <c r="E94" i="9"/>
  <c r="H94" i="9" s="1"/>
  <c r="E85" i="9"/>
  <c r="H85" i="9" s="1"/>
  <c r="I85" i="9"/>
  <c r="E77" i="9"/>
  <c r="H77" i="9" s="1"/>
  <c r="I77" i="9"/>
  <c r="G68" i="9"/>
  <c r="J68" i="9" s="1"/>
  <c r="I68" i="9"/>
  <c r="E64" i="9"/>
  <c r="H64" i="9" s="1"/>
  <c r="G60" i="9"/>
  <c r="J60" i="9" s="1"/>
  <c r="I60" i="9"/>
  <c r="E56" i="9"/>
  <c r="H56" i="9" s="1"/>
  <c r="G52" i="9"/>
  <c r="J52" i="9" s="1"/>
  <c r="I52" i="9"/>
  <c r="E48" i="9"/>
  <c r="H48" i="9" s="1"/>
  <c r="G44" i="9"/>
  <c r="J44" i="9" s="1"/>
  <c r="M44" i="9" s="1"/>
  <c r="I44" i="9"/>
  <c r="G36" i="9"/>
  <c r="J36" i="9" s="1"/>
  <c r="I36" i="9"/>
  <c r="I31" i="9"/>
  <c r="G31" i="9"/>
  <c r="J31" i="9" s="1"/>
  <c r="E26" i="9"/>
  <c r="H26" i="9" s="1"/>
  <c r="I26" i="9"/>
  <c r="E21" i="9"/>
  <c r="H21" i="9" s="1"/>
  <c r="I21" i="9"/>
  <c r="I15" i="9"/>
  <c r="G15" i="9"/>
  <c r="J15" i="9" s="1"/>
  <c r="M15" i="9" s="1"/>
  <c r="E10" i="9"/>
  <c r="H10" i="9" s="1"/>
  <c r="I10" i="9"/>
  <c r="I313" i="9"/>
  <c r="I297" i="9"/>
  <c r="I281" i="9"/>
  <c r="I270" i="9"/>
  <c r="L270" i="9" s="1"/>
  <c r="I241" i="9"/>
  <c r="I234" i="9"/>
  <c r="I190" i="9"/>
  <c r="G310" i="9"/>
  <c r="J310" i="9" s="1"/>
  <c r="G294" i="9"/>
  <c r="J294" i="9" s="1"/>
  <c r="M294" i="9" s="1"/>
  <c r="G278" i="9"/>
  <c r="J278" i="9" s="1"/>
  <c r="G238" i="9"/>
  <c r="J238" i="9" s="1"/>
  <c r="G230" i="9"/>
  <c r="J230" i="9" s="1"/>
  <c r="E226" i="9"/>
  <c r="H226" i="9" s="1"/>
  <c r="I226" i="9"/>
  <c r="E218" i="9"/>
  <c r="H218" i="9" s="1"/>
  <c r="I218" i="9"/>
  <c r="G214" i="9"/>
  <c r="J214" i="9" s="1"/>
  <c r="E210" i="9"/>
  <c r="H210" i="9" s="1"/>
  <c r="I210" i="9"/>
  <c r="G206" i="9"/>
  <c r="J206" i="9" s="1"/>
  <c r="E202" i="9"/>
  <c r="H202" i="9" s="1"/>
  <c r="I202" i="9"/>
  <c r="G198" i="9"/>
  <c r="J198" i="9" s="1"/>
  <c r="E194" i="9"/>
  <c r="H194" i="9" s="1"/>
  <c r="I194" i="9"/>
  <c r="E186" i="9"/>
  <c r="H186" i="9" s="1"/>
  <c r="I186" i="9"/>
  <c r="G182" i="9"/>
  <c r="J182" i="9" s="1"/>
  <c r="E178" i="9"/>
  <c r="H178" i="9" s="1"/>
  <c r="I178" i="9"/>
  <c r="E169" i="9"/>
  <c r="H169" i="9" s="1"/>
  <c r="I169" i="9"/>
  <c r="E161" i="9"/>
  <c r="H161" i="9" s="1"/>
  <c r="I161" i="9"/>
  <c r="E153" i="9"/>
  <c r="H153" i="9" s="1"/>
  <c r="I153" i="9"/>
  <c r="E145" i="9"/>
  <c r="H145" i="9" s="1"/>
  <c r="I145" i="9"/>
  <c r="E137" i="9"/>
  <c r="H137" i="9" s="1"/>
  <c r="I137" i="9"/>
  <c r="E129" i="9"/>
  <c r="H129" i="9" s="1"/>
  <c r="I129" i="9"/>
  <c r="G120" i="9"/>
  <c r="J120" i="9" s="1"/>
  <c r="E117" i="9"/>
  <c r="H117" i="9" s="1"/>
  <c r="I117" i="9"/>
  <c r="G108" i="9"/>
  <c r="J108" i="9" s="1"/>
  <c r="I108" i="9"/>
  <c r="G91" i="9"/>
  <c r="J91" i="9" s="1"/>
  <c r="I91" i="9"/>
  <c r="E87" i="9"/>
  <c r="H87" i="9" s="1"/>
  <c r="I87" i="9"/>
  <c r="G70" i="9"/>
  <c r="J70" i="9" s="1"/>
  <c r="E66" i="9"/>
  <c r="H66" i="9" s="1"/>
  <c r="I66" i="9"/>
  <c r="G62" i="9"/>
  <c r="J62" i="9" s="1"/>
  <c r="M62" i="9" s="1"/>
  <c r="E58" i="9"/>
  <c r="H58" i="9" s="1"/>
  <c r="I58" i="9"/>
  <c r="G54" i="9"/>
  <c r="J54" i="9" s="1"/>
  <c r="M54" i="9" s="1"/>
  <c r="E50" i="9"/>
  <c r="H50" i="9" s="1"/>
  <c r="I50" i="9"/>
  <c r="G46" i="9"/>
  <c r="J46" i="9" s="1"/>
  <c r="E42" i="9"/>
  <c r="H42" i="9" s="1"/>
  <c r="I42" i="9"/>
  <c r="G38" i="9"/>
  <c r="J38" i="9" s="1"/>
  <c r="M38" i="9" s="1"/>
  <c r="E34" i="9"/>
  <c r="H34" i="9" s="1"/>
  <c r="I34" i="9"/>
  <c r="E29" i="9"/>
  <c r="H29" i="9" s="1"/>
  <c r="I29" i="9"/>
  <c r="I23" i="9"/>
  <c r="G23" i="9"/>
  <c r="J23" i="9" s="1"/>
  <c r="M23" i="9" s="1"/>
  <c r="E18" i="9"/>
  <c r="H18" i="9" s="1"/>
  <c r="I18" i="9"/>
  <c r="E13" i="9"/>
  <c r="H13" i="9" s="1"/>
  <c r="I13" i="9"/>
  <c r="I321" i="9"/>
  <c r="I305" i="9"/>
  <c r="I289" i="9"/>
  <c r="I273" i="9"/>
  <c r="I266" i="9"/>
  <c r="E225" i="9"/>
  <c r="H225" i="9" s="1"/>
  <c r="I225" i="9"/>
  <c r="E217" i="9"/>
  <c r="H217" i="9" s="1"/>
  <c r="I217" i="9"/>
  <c r="E209" i="9"/>
  <c r="H209" i="9" s="1"/>
  <c r="I209" i="9"/>
  <c r="E201" i="9"/>
  <c r="H201" i="9" s="1"/>
  <c r="I201" i="9"/>
  <c r="E193" i="9"/>
  <c r="H193" i="9" s="1"/>
  <c r="I193" i="9"/>
  <c r="E185" i="9"/>
  <c r="H185" i="9" s="1"/>
  <c r="I185" i="9"/>
  <c r="E177" i="9"/>
  <c r="H177" i="9" s="1"/>
  <c r="K177" i="9" s="1"/>
  <c r="I177" i="9"/>
  <c r="E125" i="9"/>
  <c r="H125" i="9" s="1"/>
  <c r="K125" i="9" s="1"/>
  <c r="I125" i="9"/>
  <c r="G116" i="9"/>
  <c r="J116" i="9" s="1"/>
  <c r="I116" i="9"/>
  <c r="G99" i="9"/>
  <c r="J99" i="9" s="1"/>
  <c r="I99" i="9"/>
  <c r="E95" i="9"/>
  <c r="H95" i="9" s="1"/>
  <c r="I95" i="9"/>
  <c r="E82" i="9"/>
  <c r="H82" i="9" s="1"/>
  <c r="I82" i="9"/>
  <c r="E74" i="9"/>
  <c r="H74" i="9" s="1"/>
  <c r="I74" i="9"/>
  <c r="E65" i="9"/>
  <c r="H65" i="9" s="1"/>
  <c r="I65" i="9"/>
  <c r="E57" i="9"/>
  <c r="H57" i="9" s="1"/>
  <c r="I57" i="9"/>
  <c r="E49" i="9"/>
  <c r="H49" i="9" s="1"/>
  <c r="I49" i="9"/>
  <c r="E41" i="9"/>
  <c r="H41" i="9" s="1"/>
  <c r="I41" i="9"/>
  <c r="E33" i="9"/>
  <c r="H33" i="9" s="1"/>
  <c r="I33" i="9"/>
  <c r="G28" i="9"/>
  <c r="J28" i="9" s="1"/>
  <c r="I28" i="9"/>
  <c r="E28" i="9"/>
  <c r="H28" i="9" s="1"/>
  <c r="E17" i="9"/>
  <c r="H17" i="9" s="1"/>
  <c r="I17" i="9"/>
  <c r="G12" i="9"/>
  <c r="J12" i="9" s="1"/>
  <c r="I12" i="9"/>
  <c r="E12" i="9"/>
  <c r="H12" i="9" s="1"/>
  <c r="I265" i="9"/>
  <c r="I258" i="9"/>
  <c r="I229" i="9"/>
  <c r="E9" i="9"/>
  <c r="H9" i="9" s="1"/>
  <c r="I9" i="9"/>
  <c r="E6" i="9"/>
  <c r="H6" i="9" s="1"/>
  <c r="K6" i="9" s="1"/>
  <c r="G7" i="9"/>
  <c r="J7" i="9" s="1"/>
  <c r="M7" i="9" s="1"/>
  <c r="G325" i="9"/>
  <c r="J325" i="9" s="1"/>
  <c r="E323" i="9"/>
  <c r="H323" i="9" s="1"/>
  <c r="G317" i="9"/>
  <c r="J317" i="9" s="1"/>
  <c r="M317" i="9" s="1"/>
  <c r="E315" i="9"/>
  <c r="H315" i="9" s="1"/>
  <c r="K315" i="9" s="1"/>
  <c r="G309" i="9"/>
  <c r="J309" i="9" s="1"/>
  <c r="E307" i="9"/>
  <c r="H307" i="9" s="1"/>
  <c r="K307" i="9" s="1"/>
  <c r="G301" i="9"/>
  <c r="J301" i="9" s="1"/>
  <c r="M301" i="9" s="1"/>
  <c r="E299" i="9"/>
  <c r="H299" i="9" s="1"/>
  <c r="G293" i="9"/>
  <c r="J293" i="9" s="1"/>
  <c r="M293" i="9" s="1"/>
  <c r="E291" i="9"/>
  <c r="H291" i="9" s="1"/>
  <c r="G285" i="9"/>
  <c r="J285" i="9" s="1"/>
  <c r="M285" i="9" s="1"/>
  <c r="E283" i="9"/>
  <c r="H283" i="9" s="1"/>
  <c r="G277" i="9"/>
  <c r="J277" i="9" s="1"/>
  <c r="M277" i="9" s="1"/>
  <c r="E275" i="9"/>
  <c r="H275" i="9" s="1"/>
  <c r="G269" i="9"/>
  <c r="J269" i="9" s="1"/>
  <c r="M269" i="9" s="1"/>
  <c r="E267" i="9"/>
  <c r="H267" i="9" s="1"/>
  <c r="G261" i="9"/>
  <c r="J261" i="9" s="1"/>
  <c r="E259" i="9"/>
  <c r="H259" i="9" s="1"/>
  <c r="G253" i="9"/>
  <c r="J253" i="9" s="1"/>
  <c r="E251" i="9"/>
  <c r="H251" i="9" s="1"/>
  <c r="K251" i="9" s="1"/>
  <c r="G245" i="9"/>
  <c r="J245" i="9" s="1"/>
  <c r="E243" i="9"/>
  <c r="H243" i="9" s="1"/>
  <c r="K243" i="9" s="1"/>
  <c r="G237" i="9"/>
  <c r="J237" i="9" s="1"/>
  <c r="E235" i="9"/>
  <c r="H235" i="9" s="1"/>
  <c r="G229" i="9"/>
  <c r="J229" i="9" s="1"/>
  <c r="E227" i="9"/>
  <c r="H227" i="9" s="1"/>
  <c r="G221" i="9"/>
  <c r="J221" i="9" s="1"/>
  <c r="M221" i="9" s="1"/>
  <c r="E219" i="9"/>
  <c r="H219" i="9" s="1"/>
  <c r="G213" i="9"/>
  <c r="J213" i="9" s="1"/>
  <c r="E211" i="9"/>
  <c r="H211" i="9" s="1"/>
  <c r="G205" i="9"/>
  <c r="J205" i="9" s="1"/>
  <c r="E203" i="9"/>
  <c r="H203" i="9" s="1"/>
  <c r="K203" i="9" s="1"/>
  <c r="G197" i="9"/>
  <c r="J197" i="9" s="1"/>
  <c r="M197" i="9" s="1"/>
  <c r="E195" i="9"/>
  <c r="H195" i="9" s="1"/>
  <c r="G189" i="9"/>
  <c r="J189" i="9" s="1"/>
  <c r="E187" i="9"/>
  <c r="H187" i="9" s="1"/>
  <c r="G181" i="9"/>
  <c r="J181" i="9" s="1"/>
  <c r="E179" i="9"/>
  <c r="H179" i="9" s="1"/>
  <c r="K179" i="9" s="1"/>
  <c r="G173" i="9"/>
  <c r="J173" i="9" s="1"/>
  <c r="E171" i="9"/>
  <c r="H171" i="9" s="1"/>
  <c r="G165" i="9"/>
  <c r="J165" i="9" s="1"/>
  <c r="E163" i="9"/>
  <c r="H163" i="9" s="1"/>
  <c r="G157" i="9"/>
  <c r="J157" i="9" s="1"/>
  <c r="E155" i="9"/>
  <c r="H155" i="9" s="1"/>
  <c r="K155" i="9" s="1"/>
  <c r="G149" i="9"/>
  <c r="J149" i="9" s="1"/>
  <c r="E147" i="9"/>
  <c r="H147" i="9" s="1"/>
  <c r="G141" i="9"/>
  <c r="J141" i="9" s="1"/>
  <c r="E139" i="9"/>
  <c r="H139" i="9" s="1"/>
  <c r="G133" i="9"/>
  <c r="J133" i="9" s="1"/>
  <c r="E131" i="9"/>
  <c r="H131" i="9" s="1"/>
  <c r="G125" i="9"/>
  <c r="J125" i="9" s="1"/>
  <c r="E123" i="9"/>
  <c r="H123" i="9" s="1"/>
  <c r="K123" i="9" s="1"/>
  <c r="G117" i="9"/>
  <c r="J117" i="9" s="1"/>
  <c r="E115" i="9"/>
  <c r="H115" i="9" s="1"/>
  <c r="K115" i="9" s="1"/>
  <c r="G109" i="9"/>
  <c r="J109" i="9" s="1"/>
  <c r="E107" i="9"/>
  <c r="H107" i="9" s="1"/>
  <c r="G101" i="9"/>
  <c r="J101" i="9" s="1"/>
  <c r="E99" i="9"/>
  <c r="H99" i="9" s="1"/>
  <c r="G93" i="9"/>
  <c r="J93" i="9" s="1"/>
  <c r="E91" i="9"/>
  <c r="H91" i="9" s="1"/>
  <c r="G85" i="9"/>
  <c r="J85" i="9" s="1"/>
  <c r="E83" i="9"/>
  <c r="H83" i="9" s="1"/>
  <c r="G77" i="9"/>
  <c r="J77" i="9" s="1"/>
  <c r="M77" i="9" s="1"/>
  <c r="E75" i="9"/>
  <c r="H75" i="9" s="1"/>
  <c r="G69" i="9"/>
  <c r="J69" i="9" s="1"/>
  <c r="E67" i="9"/>
  <c r="H67" i="9" s="1"/>
  <c r="G61" i="9"/>
  <c r="J61" i="9" s="1"/>
  <c r="E59" i="9"/>
  <c r="H59" i="9" s="1"/>
  <c r="G53" i="9"/>
  <c r="J53" i="9" s="1"/>
  <c r="E51" i="9"/>
  <c r="H51" i="9" s="1"/>
  <c r="G45" i="9"/>
  <c r="J45" i="9" s="1"/>
  <c r="E43" i="9"/>
  <c r="H43" i="9" s="1"/>
  <c r="G37" i="9"/>
  <c r="J37" i="9" s="1"/>
  <c r="E35" i="9"/>
  <c r="H35" i="9" s="1"/>
  <c r="G29" i="9"/>
  <c r="J29" i="9" s="1"/>
  <c r="E27" i="9"/>
  <c r="H27" i="9" s="1"/>
  <c r="K27" i="9" s="1"/>
  <c r="G21" i="9"/>
  <c r="J21" i="9" s="1"/>
  <c r="E19" i="9"/>
  <c r="H19" i="9" s="1"/>
  <c r="G13" i="9"/>
  <c r="J13" i="9" s="1"/>
  <c r="E11" i="9"/>
  <c r="H11" i="9" s="1"/>
  <c r="G321" i="9"/>
  <c r="J321" i="9" s="1"/>
  <c r="M321" i="9" s="1"/>
  <c r="G313" i="9"/>
  <c r="J313" i="9" s="1"/>
  <c r="G305" i="9"/>
  <c r="J305" i="9" s="1"/>
  <c r="G297" i="9"/>
  <c r="J297" i="9" s="1"/>
  <c r="G289" i="9"/>
  <c r="J289" i="9" s="1"/>
  <c r="G281" i="9"/>
  <c r="J281" i="9" s="1"/>
  <c r="M281" i="9" s="1"/>
  <c r="G273" i="9"/>
  <c r="J273" i="9" s="1"/>
  <c r="G265" i="9"/>
  <c r="J265" i="9" s="1"/>
  <c r="G257" i="9"/>
  <c r="J257" i="9" s="1"/>
  <c r="M257" i="9" s="1"/>
  <c r="G249" i="9"/>
  <c r="J249" i="9" s="1"/>
  <c r="G241" i="9"/>
  <c r="J241" i="9" s="1"/>
  <c r="M241" i="9" s="1"/>
  <c r="G233" i="9"/>
  <c r="J233" i="9" s="1"/>
  <c r="M233" i="9" s="1"/>
  <c r="G225" i="9"/>
  <c r="J225" i="9" s="1"/>
  <c r="G217" i="9"/>
  <c r="J217" i="9" s="1"/>
  <c r="G209" i="9"/>
  <c r="J209" i="9" s="1"/>
  <c r="M209" i="9" s="1"/>
  <c r="G201" i="9"/>
  <c r="J201" i="9" s="1"/>
  <c r="G193" i="9"/>
  <c r="J193" i="9" s="1"/>
  <c r="G185" i="9"/>
  <c r="J185" i="9" s="1"/>
  <c r="G177" i="9"/>
  <c r="J177" i="9" s="1"/>
  <c r="G169" i="9"/>
  <c r="J169" i="9" s="1"/>
  <c r="G161" i="9"/>
  <c r="J161" i="9" s="1"/>
  <c r="G153" i="9"/>
  <c r="J153" i="9" s="1"/>
  <c r="G145" i="9"/>
  <c r="J145" i="9" s="1"/>
  <c r="G137" i="9"/>
  <c r="J137" i="9" s="1"/>
  <c r="G129" i="9"/>
  <c r="J129" i="9" s="1"/>
  <c r="G121" i="9"/>
  <c r="J121" i="9" s="1"/>
  <c r="M121" i="9" s="1"/>
  <c r="G113" i="9"/>
  <c r="J113" i="9" s="1"/>
  <c r="G105" i="9"/>
  <c r="J105" i="9" s="1"/>
  <c r="G97" i="9"/>
  <c r="J97" i="9" s="1"/>
  <c r="G89" i="9"/>
  <c r="J89" i="9" s="1"/>
  <c r="G81" i="9"/>
  <c r="J81" i="9" s="1"/>
  <c r="G73" i="9"/>
  <c r="J73" i="9" s="1"/>
  <c r="M73" i="9" s="1"/>
  <c r="G65" i="9"/>
  <c r="J65" i="9" s="1"/>
  <c r="G57" i="9"/>
  <c r="J57" i="9" s="1"/>
  <c r="M57" i="9" s="1"/>
  <c r="G49" i="9"/>
  <c r="J49" i="9" s="1"/>
  <c r="G41" i="9"/>
  <c r="J41" i="9" s="1"/>
  <c r="M41" i="9" s="1"/>
  <c r="G33" i="9"/>
  <c r="J33" i="9" s="1"/>
  <c r="G25" i="9"/>
  <c r="J25" i="9" s="1"/>
  <c r="G17" i="9"/>
  <c r="J17" i="9" s="1"/>
  <c r="G9" i="9"/>
  <c r="J9" i="9" s="1"/>
  <c r="M76" i="9" l="1"/>
  <c r="K95" i="9"/>
  <c r="M228" i="9"/>
  <c r="L262" i="9"/>
  <c r="L316" i="9"/>
  <c r="M34" i="9"/>
  <c r="K162" i="9"/>
  <c r="K327" i="9"/>
  <c r="M25" i="9"/>
  <c r="M89" i="9"/>
  <c r="M217" i="9"/>
  <c r="K51" i="9"/>
  <c r="L18" i="9"/>
  <c r="L218" i="9"/>
  <c r="L10" i="9"/>
  <c r="M31" i="9"/>
  <c r="L119" i="9"/>
  <c r="L284" i="9"/>
  <c r="K8" i="9"/>
  <c r="L84" i="9"/>
  <c r="K126" i="9"/>
  <c r="K32" i="9"/>
  <c r="L175" i="9"/>
  <c r="L71" i="9"/>
  <c r="K24" i="9"/>
  <c r="M88" i="9"/>
  <c r="M151" i="9"/>
  <c r="K167" i="9"/>
  <c r="L322" i="9"/>
  <c r="M102" i="9"/>
  <c r="L208" i="9"/>
  <c r="K39" i="9"/>
  <c r="M174" i="9"/>
  <c r="M13" i="9"/>
  <c r="M12" i="9"/>
  <c r="M236" i="9"/>
  <c r="K283" i="9"/>
  <c r="L229" i="9"/>
  <c r="L286" i="9"/>
  <c r="M45" i="9"/>
  <c r="M213" i="9"/>
  <c r="K172" i="9"/>
  <c r="M297" i="9"/>
  <c r="K94" i="9"/>
  <c r="K138" i="9"/>
  <c r="M185" i="9"/>
  <c r="M249" i="9"/>
  <c r="M313" i="9"/>
  <c r="K67" i="9"/>
  <c r="K99" i="9"/>
  <c r="K131" i="9"/>
  <c r="K195" i="9"/>
  <c r="K259" i="9"/>
  <c r="K323" i="9"/>
  <c r="L50" i="9"/>
  <c r="M182" i="9"/>
  <c r="M230" i="9"/>
  <c r="K64" i="9"/>
  <c r="L20" i="9"/>
  <c r="M247" i="9"/>
  <c r="L159" i="9"/>
  <c r="L78" i="9"/>
  <c r="M135" i="9"/>
  <c r="M81" i="9"/>
  <c r="L266" i="9"/>
  <c r="M65" i="9"/>
  <c r="M261" i="9"/>
  <c r="M238" i="9"/>
  <c r="K140" i="9"/>
  <c r="L246" i="9"/>
  <c r="L234" i="9"/>
  <c r="M244" i="9"/>
  <c r="K111" i="9"/>
  <c r="K326" i="9"/>
  <c r="L23" i="9"/>
  <c r="M46" i="9"/>
  <c r="K15" i="9"/>
  <c r="M60" i="9"/>
  <c r="K55" i="9"/>
  <c r="L306" i="9"/>
  <c r="M222" i="9"/>
  <c r="K219" i="9"/>
  <c r="K42" i="9"/>
  <c r="K163" i="9"/>
  <c r="L265" i="9"/>
  <c r="M28" i="9"/>
  <c r="K209" i="9"/>
  <c r="L305" i="9"/>
  <c r="L29" i="9"/>
  <c r="M70" i="9"/>
  <c r="K117" i="9"/>
  <c r="M206" i="9"/>
  <c r="L97" i="9"/>
  <c r="K37" i="9"/>
  <c r="K69" i="9"/>
  <c r="K205" i="9"/>
  <c r="K253" i="9"/>
  <c r="L59" i="9"/>
  <c r="M231" i="9"/>
  <c r="M295" i="9"/>
  <c r="K63" i="9"/>
  <c r="L14" i="9"/>
  <c r="K309" i="9"/>
  <c r="L274" i="9"/>
  <c r="M207" i="9"/>
  <c r="M271" i="9"/>
  <c r="M250" i="9"/>
  <c r="K82" i="9"/>
  <c r="M165" i="9"/>
  <c r="M120" i="9"/>
  <c r="K191" i="9"/>
  <c r="K319" i="9"/>
  <c r="L216" i="9"/>
  <c r="M108" i="9"/>
  <c r="M196" i="9"/>
  <c r="M308" i="9"/>
  <c r="K11" i="9"/>
  <c r="K43" i="9"/>
  <c r="K235" i="9"/>
  <c r="M278" i="9"/>
  <c r="K130" i="9"/>
  <c r="L158" i="9"/>
  <c r="L298" i="9"/>
  <c r="L314" i="9"/>
  <c r="K35" i="9"/>
  <c r="M9" i="9"/>
  <c r="M141" i="9"/>
  <c r="K116" i="9"/>
  <c r="L58" i="9"/>
  <c r="L53" i="9"/>
  <c r="M152" i="9"/>
  <c r="L160" i="9"/>
  <c r="L5" i="9"/>
  <c r="M124" i="9"/>
  <c r="M104" i="9"/>
  <c r="K197" i="9"/>
  <c r="M254" i="9"/>
  <c r="L166" i="9"/>
  <c r="L256" i="9"/>
  <c r="S295" i="10"/>
  <c r="E12" i="11"/>
  <c r="M129" i="9"/>
  <c r="M101" i="9"/>
  <c r="M133" i="9"/>
  <c r="M325" i="9"/>
  <c r="K12" i="9"/>
  <c r="L33" i="9"/>
  <c r="K321" i="9"/>
  <c r="K5" i="9"/>
  <c r="K285" i="9"/>
  <c r="M6" i="9"/>
  <c r="K317" i="9"/>
  <c r="K284" i="9"/>
  <c r="K75" i="9"/>
  <c r="K139" i="9"/>
  <c r="K171" i="9"/>
  <c r="K267" i="9"/>
  <c r="K299" i="9"/>
  <c r="L12" i="9"/>
  <c r="L13" i="9"/>
  <c r="L34" i="9"/>
  <c r="K87" i="9"/>
  <c r="K210" i="9"/>
  <c r="L26" i="9"/>
  <c r="M68" i="9"/>
  <c r="M276" i="9"/>
  <c r="K300" i="9"/>
  <c r="L242" i="9"/>
  <c r="M5" i="9"/>
  <c r="L254" i="9"/>
  <c r="K7" i="9"/>
  <c r="L102" i="9"/>
  <c r="M246" i="9"/>
  <c r="M87" i="9"/>
  <c r="K13" i="9"/>
  <c r="L231" i="9"/>
  <c r="L230" i="9"/>
  <c r="L182" i="9"/>
  <c r="L271" i="9"/>
  <c r="M153" i="9"/>
  <c r="K147" i="9"/>
  <c r="L9" i="9"/>
  <c r="K74" i="9"/>
  <c r="K225" i="9"/>
  <c r="M58" i="9"/>
  <c r="K194" i="9"/>
  <c r="M310" i="9"/>
  <c r="K77" i="9"/>
  <c r="K192" i="9"/>
  <c r="K240" i="9"/>
  <c r="M260" i="9"/>
  <c r="M324" i="9"/>
  <c r="K98" i="9"/>
  <c r="M148" i="9"/>
  <c r="K181" i="9"/>
  <c r="K237" i="9"/>
  <c r="L79" i="9"/>
  <c r="M128" i="9"/>
  <c r="M86" i="9"/>
  <c r="K127" i="9"/>
  <c r="K165" i="9"/>
  <c r="M199" i="9"/>
  <c r="L104" i="9"/>
  <c r="L311" i="9"/>
  <c r="M142" i="9"/>
  <c r="M150" i="9"/>
  <c r="M166" i="9"/>
  <c r="M42" i="9"/>
  <c r="K88" i="9"/>
  <c r="K83" i="9"/>
  <c r="K275" i="9"/>
  <c r="K41" i="9"/>
  <c r="K193" i="9"/>
  <c r="L137" i="9"/>
  <c r="K164" i="9"/>
  <c r="M161" i="9"/>
  <c r="M289" i="9"/>
  <c r="M21" i="9"/>
  <c r="M309" i="9"/>
  <c r="K9" i="9"/>
  <c r="L49" i="9"/>
  <c r="M218" i="9"/>
  <c r="L190" i="9"/>
  <c r="M10" i="9"/>
  <c r="K10" i="9"/>
  <c r="K56" i="9"/>
  <c r="M119" i="9"/>
  <c r="K244" i="9"/>
  <c r="K308" i="9"/>
  <c r="L61" i="9"/>
  <c r="L25" i="9"/>
  <c r="L8" i="9"/>
  <c r="K303" i="9"/>
  <c r="M175" i="9"/>
  <c r="L11" i="9"/>
  <c r="K287" i="9"/>
  <c r="M24" i="9"/>
  <c r="L278" i="9"/>
  <c r="M48" i="9"/>
  <c r="L47" i="9"/>
  <c r="K305" i="9"/>
  <c r="L6" i="9"/>
  <c r="K19" i="9"/>
  <c r="K211" i="9"/>
  <c r="L17" i="9"/>
  <c r="M116" i="9"/>
  <c r="M105" i="9"/>
  <c r="M169" i="9"/>
  <c r="K91" i="9"/>
  <c r="K187" i="9"/>
  <c r="K201" i="9"/>
  <c r="L273" i="9"/>
  <c r="L66" i="9"/>
  <c r="L145" i="9"/>
  <c r="L178" i="9"/>
  <c r="L202" i="9"/>
  <c r="L226" i="9"/>
  <c r="L36" i="9"/>
  <c r="K85" i="9"/>
  <c r="L269" i="9"/>
  <c r="M156" i="9"/>
  <c r="K189" i="9"/>
  <c r="K245" i="9"/>
  <c r="K25" i="9"/>
  <c r="L100" i="9"/>
  <c r="L136" i="9"/>
  <c r="K168" i="9"/>
  <c r="K144" i="9"/>
  <c r="M8" i="9"/>
  <c r="M90" i="9"/>
  <c r="K149" i="9"/>
  <c r="L107" i="9"/>
  <c r="L143" i="9"/>
  <c r="K263" i="9"/>
  <c r="M11" i="9"/>
  <c r="L103" i="9"/>
  <c r="L227" i="9"/>
  <c r="L291" i="9"/>
  <c r="L24" i="9"/>
  <c r="M114" i="9"/>
  <c r="K109" i="9"/>
  <c r="L146" i="9"/>
  <c r="K173" i="9"/>
  <c r="L92" i="9"/>
  <c r="M134" i="9"/>
  <c r="K302" i="9"/>
  <c r="M282" i="9"/>
  <c r="L318" i="9"/>
  <c r="M223" i="9"/>
  <c r="K214" i="9"/>
  <c r="K198" i="9"/>
  <c r="M255" i="9"/>
  <c r="K112" i="9"/>
  <c r="L55" i="9"/>
  <c r="M130" i="9"/>
  <c r="L7" i="9"/>
  <c r="L183" i="9"/>
  <c r="K313" i="9"/>
  <c r="M113" i="9"/>
  <c r="M93" i="9"/>
  <c r="M157" i="9"/>
  <c r="L38" i="9"/>
  <c r="L94" i="9"/>
  <c r="K266" i="9"/>
  <c r="K23" i="9"/>
  <c r="L268" i="9"/>
  <c r="K268" i="9"/>
  <c r="L307" i="9"/>
  <c r="M318" i="9"/>
  <c r="L239" i="9"/>
  <c r="L176" i="9"/>
  <c r="M146" i="9"/>
  <c r="M177" i="9"/>
  <c r="M305" i="9"/>
  <c r="M125" i="9"/>
  <c r="M189" i="9"/>
  <c r="M253" i="9"/>
  <c r="L258" i="9"/>
  <c r="K258" i="9"/>
  <c r="L95" i="9"/>
  <c r="L177" i="9"/>
  <c r="L209" i="9"/>
  <c r="L289" i="9"/>
  <c r="M66" i="9"/>
  <c r="K66" i="9"/>
  <c r="L117" i="9"/>
  <c r="K145" i="9"/>
  <c r="K178" i="9"/>
  <c r="K202" i="9"/>
  <c r="K226" i="9"/>
  <c r="L241" i="9"/>
  <c r="M123" i="9"/>
  <c r="L180" i="9"/>
  <c r="L228" i="9"/>
  <c r="K228" i="9"/>
  <c r="M268" i="9"/>
  <c r="L292" i="9"/>
  <c r="L312" i="9"/>
  <c r="K312" i="9"/>
  <c r="K269" i="9"/>
  <c r="L69" i="9"/>
  <c r="L132" i="9"/>
  <c r="L164" i="9"/>
  <c r="L205" i="9"/>
  <c r="L253" i="9"/>
  <c r="M100" i="9"/>
  <c r="L147" i="9"/>
  <c r="M168" i="9"/>
  <c r="L144" i="9"/>
  <c r="L90" i="9"/>
  <c r="M243" i="9"/>
  <c r="M307" i="9"/>
  <c r="L154" i="9"/>
  <c r="M107" i="9"/>
  <c r="M159" i="9"/>
  <c r="L267" i="9"/>
  <c r="M155" i="9"/>
  <c r="L76" i="9"/>
  <c r="K76" i="9"/>
  <c r="K103" i="9"/>
  <c r="M227" i="9"/>
  <c r="M291" i="9"/>
  <c r="K78" i="9"/>
  <c r="L114" i="9"/>
  <c r="M315" i="9"/>
  <c r="L113" i="9"/>
  <c r="K146" i="9"/>
  <c r="L135" i="9"/>
  <c r="L251" i="9"/>
  <c r="M92" i="9"/>
  <c r="M264" i="9"/>
  <c r="L221" i="9"/>
  <c r="M184" i="9"/>
  <c r="L290" i="9"/>
  <c r="L233" i="9"/>
  <c r="K150" i="9"/>
  <c r="M287" i="9"/>
  <c r="M256" i="9"/>
  <c r="K222" i="9"/>
  <c r="M200" i="9"/>
  <c r="K279" i="9"/>
  <c r="K229" i="9"/>
  <c r="M95" i="9"/>
  <c r="L263" i="9"/>
  <c r="L184" i="9"/>
  <c r="L264" i="9"/>
  <c r="M162" i="9"/>
  <c r="K274" i="9"/>
  <c r="K292" i="9"/>
  <c r="L279" i="9"/>
  <c r="L288" i="9"/>
  <c r="K288" i="9"/>
  <c r="L243" i="9"/>
  <c r="K227" i="9"/>
  <c r="L252" i="9"/>
  <c r="K252" i="9"/>
  <c r="M132" i="9"/>
  <c r="M164" i="9"/>
  <c r="L105" i="9"/>
  <c r="M147" i="9"/>
  <c r="L168" i="9"/>
  <c r="M144" i="9"/>
  <c r="K90" i="9"/>
  <c r="L133" i="9"/>
  <c r="K154" i="9"/>
  <c r="M154" i="9"/>
  <c r="L75" i="9"/>
  <c r="L121" i="9"/>
  <c r="M267" i="9"/>
  <c r="L171" i="9"/>
  <c r="K114" i="9"/>
  <c r="L122" i="9"/>
  <c r="K113" i="9"/>
  <c r="L157" i="9"/>
  <c r="M251" i="9"/>
  <c r="K270" i="9"/>
  <c r="L257" i="9"/>
  <c r="K190" i="9"/>
  <c r="M240" i="9"/>
  <c r="L309" i="9"/>
  <c r="M312" i="9"/>
  <c r="M258" i="9"/>
  <c r="M296" i="9"/>
  <c r="K183" i="9"/>
  <c r="M72" i="9"/>
  <c r="M112" i="9"/>
  <c r="L247" i="9"/>
  <c r="M110" i="9"/>
  <c r="L174" i="9"/>
  <c r="L238" i="9"/>
  <c r="L215" i="9"/>
  <c r="M111" i="9"/>
  <c r="L64" i="9"/>
  <c r="L192" i="9"/>
  <c r="M115" i="9"/>
  <c r="K208" i="9"/>
  <c r="M178" i="9"/>
  <c r="K84" i="9"/>
  <c r="K325" i="9"/>
  <c r="L123" i="9"/>
  <c r="L179" i="9"/>
  <c r="M219" i="9"/>
  <c r="K291" i="9"/>
  <c r="L204" i="9"/>
  <c r="K204" i="9"/>
  <c r="L272" i="9"/>
  <c r="K272" i="9"/>
  <c r="M193" i="9"/>
  <c r="M69" i="9"/>
  <c r="M229" i="9"/>
  <c r="L65" i="9"/>
  <c r="L99" i="9"/>
  <c r="L185" i="9"/>
  <c r="L217" i="9"/>
  <c r="L321" i="9"/>
  <c r="L87" i="9"/>
  <c r="K153" i="9"/>
  <c r="L186" i="9"/>
  <c r="L210" i="9"/>
  <c r="L281" i="9"/>
  <c r="L68" i="9"/>
  <c r="K68" i="9"/>
  <c r="K97" i="9"/>
  <c r="M204" i="9"/>
  <c r="M252" i="9"/>
  <c r="L276" i="9"/>
  <c r="K296" i="9"/>
  <c r="L296" i="9"/>
  <c r="M316" i="9"/>
  <c r="L115" i="9"/>
  <c r="L89" i="9"/>
  <c r="L140" i="9"/>
  <c r="L172" i="9"/>
  <c r="L213" i="9"/>
  <c r="L261" i="9"/>
  <c r="K105" i="9"/>
  <c r="K152" i="9"/>
  <c r="K160" i="9"/>
  <c r="K271" i="9"/>
  <c r="K133" i="9"/>
  <c r="K159" i="9"/>
  <c r="M75" i="9"/>
  <c r="K121" i="9"/>
  <c r="L203" i="9"/>
  <c r="M171" i="9"/>
  <c r="L81" i="9"/>
  <c r="K255" i="9"/>
  <c r="M78" i="9"/>
  <c r="K124" i="9"/>
  <c r="K122" i="9"/>
  <c r="L67" i="9"/>
  <c r="L130" i="9"/>
  <c r="K157" i="9"/>
  <c r="M167" i="9"/>
  <c r="L283" i="9"/>
  <c r="M274" i="9"/>
  <c r="L285" i="9"/>
  <c r="M280" i="9"/>
  <c r="L293" i="9"/>
  <c r="M232" i="9"/>
  <c r="K318" i="9"/>
  <c r="K62" i="9"/>
  <c r="M288" i="9"/>
  <c r="L317" i="9"/>
  <c r="M96" i="9"/>
  <c r="K262" i="9"/>
  <c r="K294" i="9"/>
  <c r="M328" i="9"/>
  <c r="L118" i="9"/>
  <c r="L72" i="9"/>
  <c r="L200" i="9"/>
  <c r="K233" i="9"/>
  <c r="K216" i="9"/>
  <c r="M74" i="9"/>
  <c r="M202" i="9"/>
  <c r="K290" i="9"/>
  <c r="L295" i="9"/>
  <c r="L155" i="9"/>
  <c r="L315" i="9"/>
  <c r="L153" i="9"/>
  <c r="M137" i="9"/>
  <c r="M201" i="9"/>
  <c r="M265" i="9"/>
  <c r="K107" i="9"/>
  <c r="K65" i="9"/>
  <c r="M99" i="9"/>
  <c r="K185" i="9"/>
  <c r="K217" i="9"/>
  <c r="L129" i="9"/>
  <c r="L161" i="9"/>
  <c r="K186" i="9"/>
  <c r="M186" i="9"/>
  <c r="L297" i="9"/>
  <c r="L106" i="9"/>
  <c r="K148" i="9"/>
  <c r="L188" i="9"/>
  <c r="K188" i="9"/>
  <c r="L212" i="9"/>
  <c r="L236" i="9"/>
  <c r="K236" i="9"/>
  <c r="L300" i="9"/>
  <c r="K320" i="9"/>
  <c r="L320" i="9"/>
  <c r="K89" i="9"/>
  <c r="M140" i="9"/>
  <c r="M172" i="9"/>
  <c r="K213" i="9"/>
  <c r="K261" i="9"/>
  <c r="M63" i="9"/>
  <c r="L131" i="9"/>
  <c r="L152" i="9"/>
  <c r="M160" i="9"/>
  <c r="L73" i="9"/>
  <c r="L101" i="9"/>
  <c r="L211" i="9"/>
  <c r="L275" i="9"/>
  <c r="L138" i="9"/>
  <c r="L170" i="9"/>
  <c r="K86" i="9"/>
  <c r="M127" i="9"/>
  <c r="L299" i="9"/>
  <c r="L195" i="9"/>
  <c r="L259" i="9"/>
  <c r="L323" i="9"/>
  <c r="L83" i="9"/>
  <c r="L124" i="9"/>
  <c r="L139" i="9"/>
  <c r="M67" i="9"/>
  <c r="L162" i="9"/>
  <c r="L167" i="9"/>
  <c r="M283" i="9"/>
  <c r="M304" i="9"/>
  <c r="L302" i="9"/>
  <c r="M224" i="9"/>
  <c r="K286" i="9"/>
  <c r="K238" i="9"/>
  <c r="M322" i="9"/>
  <c r="K102" i="9"/>
  <c r="M327" i="9"/>
  <c r="M94" i="9"/>
  <c r="M158" i="9"/>
  <c r="K247" i="9"/>
  <c r="K246" i="9"/>
  <c r="M126" i="9"/>
  <c r="M190" i="9"/>
  <c r="L255" i="9"/>
  <c r="L80" i="9"/>
  <c r="L224" i="9"/>
  <c r="K241" i="9"/>
  <c r="K273" i="9"/>
  <c r="M82" i="9"/>
  <c r="M210" i="9"/>
  <c r="K298" i="9"/>
  <c r="K180" i="9"/>
  <c r="K316" i="9"/>
  <c r="L294" i="9"/>
  <c r="L303" i="9"/>
  <c r="M145" i="9"/>
  <c r="M273" i="9"/>
  <c r="M109" i="9"/>
  <c r="M173" i="9"/>
  <c r="M205" i="9"/>
  <c r="M237" i="9"/>
  <c r="L74" i="9"/>
  <c r="L116" i="9"/>
  <c r="L193" i="9"/>
  <c r="L225" i="9"/>
  <c r="L91" i="9"/>
  <c r="K129" i="9"/>
  <c r="K161" i="9"/>
  <c r="L194" i="9"/>
  <c r="M214" i="9"/>
  <c r="L313" i="9"/>
  <c r="L77" i="9"/>
  <c r="M106" i="9"/>
  <c r="K106" i="9"/>
  <c r="K156" i="9"/>
  <c r="L260" i="9"/>
  <c r="K280" i="9"/>
  <c r="L280" i="9"/>
  <c r="L324" i="9"/>
  <c r="L249" i="9"/>
  <c r="L98" i="9"/>
  <c r="L148" i="9"/>
  <c r="L181" i="9"/>
  <c r="L237" i="9"/>
  <c r="K79" i="9"/>
  <c r="M131" i="9"/>
  <c r="K128" i="9"/>
  <c r="K73" i="9"/>
  <c r="K101" i="9"/>
  <c r="M211" i="9"/>
  <c r="M170" i="9"/>
  <c r="K170" i="9"/>
  <c r="L86" i="9"/>
  <c r="L127" i="9"/>
  <c r="K231" i="9"/>
  <c r="L93" i="9"/>
  <c r="M195" i="9"/>
  <c r="M259" i="9"/>
  <c r="M83" i="9"/>
  <c r="M139" i="9"/>
  <c r="K104" i="9"/>
  <c r="K135" i="9"/>
  <c r="L187" i="9"/>
  <c r="L199" i="9"/>
  <c r="L301" i="9"/>
  <c r="K310" i="9"/>
  <c r="L325" i="9"/>
  <c r="K230" i="9"/>
  <c r="M64" i="9"/>
  <c r="K110" i="9"/>
  <c r="M242" i="9"/>
  <c r="L197" i="9"/>
  <c r="K142" i="9"/>
  <c r="K254" i="9"/>
  <c r="K166" i="9"/>
  <c r="M303" i="9"/>
  <c r="M192" i="9"/>
  <c r="K182" i="9"/>
  <c r="K221" i="9"/>
  <c r="L134" i="9"/>
  <c r="L198" i="9"/>
  <c r="M262" i="9"/>
  <c r="L63" i="9"/>
  <c r="L191" i="9"/>
  <c r="L96" i="9"/>
  <c r="L232" i="9"/>
  <c r="K249" i="9"/>
  <c r="K281" i="9"/>
  <c r="M98" i="9"/>
  <c r="K306" i="9"/>
  <c r="K212" i="9"/>
  <c r="K324" i="9"/>
  <c r="L310" i="9"/>
  <c r="K136" i="9"/>
  <c r="L163" i="9"/>
  <c r="K143" i="9"/>
  <c r="L235" i="9"/>
  <c r="L165" i="9"/>
  <c r="K93" i="9"/>
  <c r="M263" i="9"/>
  <c r="L141" i="9"/>
  <c r="M187" i="9"/>
  <c r="M314" i="9"/>
  <c r="K311" i="9"/>
  <c r="K70" i="9"/>
  <c r="M272" i="9"/>
  <c r="M298" i="9"/>
  <c r="K120" i="9"/>
  <c r="M176" i="9"/>
  <c r="L62" i="9"/>
  <c r="L142" i="9"/>
  <c r="L206" i="9"/>
  <c r="M270" i="9"/>
  <c r="M71" i="9"/>
  <c r="L207" i="9"/>
  <c r="L112" i="9"/>
  <c r="L240" i="9"/>
  <c r="K257" i="9"/>
  <c r="K289" i="9"/>
  <c r="M226" i="9"/>
  <c r="K314" i="9"/>
  <c r="K277" i="9"/>
  <c r="L326" i="9"/>
  <c r="L319" i="9"/>
  <c r="M91" i="9"/>
  <c r="L169" i="9"/>
  <c r="L220" i="9"/>
  <c r="K220" i="9"/>
  <c r="L304" i="9"/>
  <c r="K304" i="9"/>
  <c r="L282" i="9"/>
  <c r="M97" i="9"/>
  <c r="M225" i="9"/>
  <c r="M85" i="9"/>
  <c r="M117" i="9"/>
  <c r="M149" i="9"/>
  <c r="M181" i="9"/>
  <c r="M245" i="9"/>
  <c r="L82" i="9"/>
  <c r="L125" i="9"/>
  <c r="L201" i="9"/>
  <c r="L108" i="9"/>
  <c r="K108" i="9"/>
  <c r="K137" i="9"/>
  <c r="K169" i="9"/>
  <c r="M198" i="9"/>
  <c r="K218" i="9"/>
  <c r="L85" i="9"/>
  <c r="K119" i="9"/>
  <c r="L196" i="9"/>
  <c r="K196" i="9"/>
  <c r="M220" i="9"/>
  <c r="L244" i="9"/>
  <c r="L308" i="9"/>
  <c r="L328" i="9"/>
  <c r="K328" i="9"/>
  <c r="L111" i="9"/>
  <c r="L156" i="9"/>
  <c r="L189" i="9"/>
  <c r="L245" i="9"/>
  <c r="K100" i="9"/>
  <c r="M136" i="9"/>
  <c r="M163" i="9"/>
  <c r="L128" i="9"/>
  <c r="M84" i="9"/>
  <c r="L126" i="9"/>
  <c r="K239" i="9"/>
  <c r="L149" i="9"/>
  <c r="K175" i="9"/>
  <c r="K92" i="9"/>
  <c r="M235" i="9"/>
  <c r="K71" i="9"/>
  <c r="M103" i="9"/>
  <c r="K223" i="9"/>
  <c r="L88" i="9"/>
  <c r="L151" i="9"/>
  <c r="K151" i="9"/>
  <c r="L109" i="9"/>
  <c r="K141" i="9"/>
  <c r="L173" i="9"/>
  <c r="L219" i="9"/>
  <c r="M234" i="9"/>
  <c r="M319" i="9"/>
  <c r="M118" i="9"/>
  <c r="L277" i="9"/>
  <c r="K278" i="9"/>
  <c r="L250" i="9"/>
  <c r="K250" i="9"/>
  <c r="M208" i="9"/>
  <c r="K174" i="9"/>
  <c r="M191" i="9"/>
  <c r="M306" i="9"/>
  <c r="M216" i="9"/>
  <c r="M80" i="9"/>
  <c r="L70" i="9"/>
  <c r="L150" i="9"/>
  <c r="L214" i="9"/>
  <c r="M286" i="9"/>
  <c r="M79" i="9"/>
  <c r="L223" i="9"/>
  <c r="L120" i="9"/>
  <c r="L248" i="9"/>
  <c r="K265" i="9"/>
  <c r="K297" i="9"/>
  <c r="M138" i="9"/>
  <c r="K234" i="9"/>
  <c r="K322" i="9"/>
  <c r="K276" i="9"/>
  <c r="K293" i="9"/>
  <c r="K199" i="9"/>
  <c r="L327" i="9"/>
  <c r="M52" i="9"/>
  <c r="M53" i="9"/>
  <c r="L56" i="9"/>
  <c r="K59" i="9"/>
  <c r="K49" i="9"/>
  <c r="L60" i="9"/>
  <c r="K60" i="9"/>
  <c r="K61" i="9"/>
  <c r="K46" i="9"/>
  <c r="M55" i="9"/>
  <c r="K53" i="9"/>
  <c r="M49" i="9"/>
  <c r="M61" i="9"/>
  <c r="L57" i="9"/>
  <c r="K54" i="9"/>
  <c r="M51" i="9"/>
  <c r="L52" i="9"/>
  <c r="K52" i="9"/>
  <c r="K58" i="9"/>
  <c r="K50" i="9"/>
  <c r="L45" i="9"/>
  <c r="L46" i="9"/>
  <c r="K57" i="9"/>
  <c r="L44" i="9"/>
  <c r="K44" i="9"/>
  <c r="L48" i="9"/>
  <c r="K48" i="9"/>
  <c r="K45" i="9"/>
  <c r="L51" i="9"/>
  <c r="L54" i="9"/>
  <c r="K29" i="9"/>
  <c r="K33" i="9"/>
  <c r="M39" i="9"/>
  <c r="K36" i="9"/>
  <c r="L41" i="9"/>
  <c r="K34" i="9"/>
  <c r="K26" i="9"/>
  <c r="K30" i="9"/>
  <c r="M30" i="9"/>
  <c r="L43" i="9"/>
  <c r="K31" i="9"/>
  <c r="M33" i="9"/>
  <c r="L42" i="9"/>
  <c r="L31" i="9"/>
  <c r="L32" i="9"/>
  <c r="L30" i="9"/>
  <c r="M43" i="9"/>
  <c r="L39" i="9"/>
  <c r="M37" i="9"/>
  <c r="K28" i="9"/>
  <c r="L27" i="9"/>
  <c r="L35" i="9"/>
  <c r="K40" i="9"/>
  <c r="M29" i="9"/>
  <c r="L28" i="9"/>
  <c r="M36" i="9"/>
  <c r="L37" i="9"/>
  <c r="M27" i="9"/>
  <c r="M35" i="9"/>
  <c r="K38" i="9"/>
  <c r="M40" i="9"/>
  <c r="M26" i="9"/>
  <c r="K17" i="9"/>
  <c r="M22" i="9"/>
  <c r="L15" i="9"/>
  <c r="K20" i="9"/>
  <c r="L21" i="9"/>
  <c r="L16" i="9"/>
  <c r="K16" i="9"/>
  <c r="M16" i="9"/>
  <c r="K22" i="9"/>
  <c r="M19" i="9"/>
  <c r="K21" i="9"/>
  <c r="M20" i="9"/>
  <c r="M17" i="9"/>
  <c r="L19" i="9"/>
  <c r="K14" i="9"/>
  <c r="K18" i="9"/>
  <c r="M18" i="9"/>
</calcChain>
</file>

<file path=xl/sharedStrings.xml><?xml version="1.0" encoding="utf-8"?>
<sst xmlns="http://schemas.openxmlformats.org/spreadsheetml/2006/main" count="1341" uniqueCount="251">
  <si>
    <t>1. Entendimento do Negócio</t>
  </si>
  <si>
    <t>Ocorrência</t>
  </si>
  <si>
    <t>Detecção</t>
  </si>
  <si>
    <t>Severidade</t>
  </si>
  <si>
    <t>2. Entendimento dos Dados</t>
  </si>
  <si>
    <t>3. Preparação dos Dados</t>
  </si>
  <si>
    <t>5. Avaliação do Modelo</t>
  </si>
  <si>
    <t>6. Implementação e Monitoramento</t>
  </si>
  <si>
    <t>7. Visão Geral</t>
  </si>
  <si>
    <t>4. Modelagem</t>
  </si>
  <si>
    <t>1.1 Os objetivos da modelagem não são claramente definidos desde o início.</t>
  </si>
  <si>
    <t>1.2 As exigências regulatórias são mal interpretadas pelas equipes envolvidas.</t>
  </si>
  <si>
    <t>1.3 Há falhas na comunicação entre as áreas de risco, contabilidade, TI e negócio.</t>
  </si>
  <si>
    <t>1.4 As responsabilidades no processo de modelagem não estão claramente distribuídas.</t>
  </si>
  <si>
    <t>1.5 Não existe processo formal para revisar e atualizar o escopo da modelagem.</t>
  </si>
  <si>
    <t>2.1 As bases de dados apresentam falhas de completude, consistência ou confiabilidade.</t>
  </si>
  <si>
    <t>2.2 Os prazos para entrega dos dados frequentemente não são cumpridos.</t>
  </si>
  <si>
    <t>2.3 Os dados utilizados no modelo não estão devidamente documentados ou compreendidos.</t>
  </si>
  <si>
    <t>2.4 As equipes enfrentam dificuldade para acessar as fontes de dados necessárias.</t>
  </si>
  <si>
    <t>2.5 Não há monitoramento contínuo da qualidade dos dados.</t>
  </si>
  <si>
    <t>3.1 O tratamento dos dados é realizado sem um padrão técnico bem definido.</t>
  </si>
  <si>
    <t>3.2 A engenharia de variáveis é feita sem critérios técnicos claros.</t>
  </si>
  <si>
    <t>3.3 O processo de preparação dos dados demanda retrabalho frequente.</t>
  </si>
  <si>
    <t>3.4 As transformações de dados não passam por revisão técnica formal.</t>
  </si>
  <si>
    <t>3.5 Não existe repositório centralizado com versões dos datasets utilizados.</t>
  </si>
  <si>
    <t>4.1 Os algoritmos escolhidos são inadequados ao problema modelado.</t>
  </si>
  <si>
    <t>4.2 A equipe responsável não possui conhecimento técnico suficiente.</t>
  </si>
  <si>
    <t>4.3 A introdução de cenários macroeconômicos é feita de forma incorreta ou incompleta.</t>
  </si>
  <si>
    <t>4.4 O risco de overfitting não é considerado ou tratado adequadamente.</t>
  </si>
  <si>
    <t>4.5 Não são aplicadas técnicas de validação cruzada ou similares.</t>
  </si>
  <si>
    <t>5.1 Os modelos não são validados com métricas estatísticas adequadas.</t>
  </si>
  <si>
    <t>5.2 Os testes de estabilidade e aderência regulatória são falhos ou inexistentes.</t>
  </si>
  <si>
    <t>5.3 Não há comitê ou instância formal de validação técnica dos modelos.</t>
  </si>
  <si>
    <t>5.4 A validação dos modelos não inclui testes fora da amostra (out-of-sample).</t>
  </si>
  <si>
    <t>5.5 Os resultados da avaliação não são devidamente documentados e arquivados.</t>
  </si>
  <si>
    <t>6.1 A documentação técnica e funcional dos modelos é incompleta ou desatualizada.</t>
  </si>
  <si>
    <t>6.2 A integração com os sistemas de TI ou contabilidade é falha ou lenta.</t>
  </si>
  <si>
    <t>6.3 Não há cronograma definido para revalidação dos modelos em produção.</t>
  </si>
  <si>
    <t>6.4 Os modelos em produção não são acompanhados com indicadores atualizados.</t>
  </si>
  <si>
    <t>6.5 Falhas de produção ou erros de cálculo não são rapidamente detectados.</t>
  </si>
  <si>
    <t>7.1 O processo como um todo apresenta falhas recorrentes e falta de controle.</t>
  </si>
  <si>
    <t>7.2 Os controles existentes são insuficientes para mitigar riscos operacionais.</t>
  </si>
  <si>
    <t>7.3 O nível de risco da modelagem da perda esperada é considerado elevado.</t>
  </si>
  <si>
    <t>7.4 A comunicação entre as áreas ao longo do processo é falha ou ineficaz.</t>
  </si>
  <si>
    <t>7.5 A organização não está preparada para adaptar os modelos às mudanças regulatórias.</t>
  </si>
  <si>
    <t>Entendimento do Negócio</t>
  </si>
  <si>
    <t>Os objetivos da modelagem não são claramente definidos desde o início.</t>
  </si>
  <si>
    <t>As exigências regulatórias são mal interpretadas pelas equipes envolvidas.</t>
  </si>
  <si>
    <t>Há falhas na comunicação entre as áreas de risco, contabilidade, TI e negócio.</t>
  </si>
  <si>
    <t>As responsabilidades no processo de modelagem não estão claramente distribuídas.</t>
  </si>
  <si>
    <t>Não existe processo formal para revisar e atualizar o escopo da modelagem.</t>
  </si>
  <si>
    <t>As bases de dados apresentam falhas de completude, consistência ou confiabilidade.</t>
  </si>
  <si>
    <t>Os prazos para entrega dos dados frequentemente não são cumpridos.</t>
  </si>
  <si>
    <t>Os dados utilizados no modelo não estão devidamente documentados ou compreendidos.</t>
  </si>
  <si>
    <t>As equipes enfrentam dificuldade para acessar as fontes de dados necessárias.</t>
  </si>
  <si>
    <t>Não há monitoramento contínuo da qualidade dos dados.</t>
  </si>
  <si>
    <t>O tratamento dos dados é realizado sem um padrão técnico bem definido.</t>
  </si>
  <si>
    <t>A engenharia de variáveis é feita sem critérios técnicos claros.</t>
  </si>
  <si>
    <t>O processo de preparação dos dados demanda retrabalho frequente.</t>
  </si>
  <si>
    <t>As transformações de dados não passam por revisão técnica formal.</t>
  </si>
  <si>
    <t>Não existe repositório centralizado com versões dos datasets utilizados.</t>
  </si>
  <si>
    <t>Os algoritmos escolhidos são inadequados ao problema modelado.</t>
  </si>
  <si>
    <t>A equipe responsável não possui conhecimento técnico suficiente.</t>
  </si>
  <si>
    <t>A introdução de cenários macroeconômicos é feita de forma incorreta ou incompleta.</t>
  </si>
  <si>
    <t>O risco de overfitting não é considerado ou tratado adequadamente.</t>
  </si>
  <si>
    <t>Não são aplicadas técnicas de validação cruzada ou similares.</t>
  </si>
  <si>
    <t>Os modelos não são validados com métricas estatísticas adequadas.</t>
  </si>
  <si>
    <t>Os testes de estabilidade e aderência regulatória são falhos ou inexistentes.</t>
  </si>
  <si>
    <t>Não há comitê ou instância formal de validação técnica dos modelos.</t>
  </si>
  <si>
    <t>A validação dos modelos não inclui testes fora da amostra (out-of-sample).</t>
  </si>
  <si>
    <t>Os resultados da avaliação não são devidamente documentados e arquivados.</t>
  </si>
  <si>
    <t>A documentação técnica e funcional dos modelos é incompleta ou desatualizada.</t>
  </si>
  <si>
    <t>A integração com os sistemas de TI ou contabilidade é falha ou lenta.</t>
  </si>
  <si>
    <t>Não há cronograma definido para revalidação dos modelos em produção.</t>
  </si>
  <si>
    <t>Os modelos em produção não são acompanhados com indicadores atualizados.</t>
  </si>
  <si>
    <t>Falhas de produção ou erros de cálculo não são rapidamente detectados.</t>
  </si>
  <si>
    <t>O processo como um todo apresenta falhas recorrentes e falta de controle.</t>
  </si>
  <si>
    <t>Os controles existentes são insuficientes para mitigar riscos operacionais.</t>
  </si>
  <si>
    <t>O nível de risco da modelagem da perda esperada é considerado elevado.</t>
  </si>
  <si>
    <t>A comunicação entre as áreas ao longo do processo é falha ou ineficaz.</t>
  </si>
  <si>
    <t>A organização não está preparada para adaptar os modelos às mudanças regulatórias.</t>
  </si>
  <si>
    <t>Entendimento dos Dados</t>
  </si>
  <si>
    <t>Preparação dos Dados</t>
  </si>
  <si>
    <t>Modelagem</t>
  </si>
  <si>
    <t>Avaliação do Modelo</t>
  </si>
  <si>
    <t>Implementação e Monitoramento</t>
  </si>
  <si>
    <t>Visão Geral</t>
  </si>
  <si>
    <t>Etapas da Modelagem</t>
  </si>
  <si>
    <t>Eventos de Risco</t>
  </si>
  <si>
    <t>Índice</t>
  </si>
  <si>
    <t>Nº Etapa</t>
  </si>
  <si>
    <t>Nº Pergunta</t>
  </si>
  <si>
    <t>Os modelos que se ajustam excessivamente não é tratado adequadamente.</t>
  </si>
  <si>
    <t>A maturidade da governça em relação a nova forma de gerenciar a carteira com a nova regulamentação voltada para risco de crédito.</t>
  </si>
  <si>
    <t>O</t>
  </si>
  <si>
    <t>D</t>
  </si>
  <si>
    <t>S</t>
  </si>
  <si>
    <t>r-1</t>
  </si>
  <si>
    <t>r</t>
  </si>
  <si>
    <t>r+1</t>
  </si>
  <si>
    <t>f(r-1)</t>
  </si>
  <si>
    <t>f®</t>
  </si>
  <si>
    <t>f(r+1)</t>
  </si>
  <si>
    <t>K</t>
  </si>
  <si>
    <t xml:space="preserve">Excluido </t>
  </si>
  <si>
    <t>SIM</t>
  </si>
  <si>
    <t/>
  </si>
  <si>
    <t xml:space="preserve">f(r) </t>
  </si>
  <si>
    <t>x</t>
  </si>
  <si>
    <t>k</t>
  </si>
  <si>
    <t>Esp Q</t>
  </si>
  <si>
    <t>1 e 2</t>
  </si>
  <si>
    <t>Soma Ma</t>
  </si>
  <si>
    <t>Media</t>
  </si>
  <si>
    <t>3 (r-1)</t>
  </si>
  <si>
    <t>2(r-1) e 3r</t>
  </si>
  <si>
    <t>2r e 3 (r+1)</t>
  </si>
  <si>
    <t>2 (r+1)</t>
  </si>
  <si>
    <t>2 (r-1)</t>
  </si>
  <si>
    <t>2(r) e 3r-1</t>
  </si>
  <si>
    <t>1r-1 e 2 (r+1) e 3r</t>
  </si>
  <si>
    <t>1r e 3 (r+1)</t>
  </si>
  <si>
    <t>4s</t>
  </si>
  <si>
    <t>3s</t>
  </si>
  <si>
    <t>K_O</t>
  </si>
  <si>
    <t>RPN_O</t>
  </si>
  <si>
    <t>K_D</t>
  </si>
  <si>
    <t>RPN_D</t>
  </si>
  <si>
    <t>K_S</t>
  </si>
  <si>
    <t>RPN_S</t>
  </si>
  <si>
    <t>RPNf</t>
  </si>
  <si>
    <t>Ranking</t>
  </si>
  <si>
    <t>Index</t>
  </si>
  <si>
    <t>Risk Event</t>
  </si>
  <si>
    <t>Business Understanding</t>
  </si>
  <si>
    <t>The objectives of the modeling process are not clearly defined from the outset.</t>
  </si>
  <si>
    <t>Regulatory requirements are misinterpreted by the involved teams.</t>
  </si>
  <si>
    <t>There are communication failures among the risk, accounting, IT, and business areas.</t>
  </si>
  <si>
    <t>Responsibilities in the modeling process are not clearly distributed.</t>
  </si>
  <si>
    <t>There is no formal process to review and update the modeling scope.</t>
  </si>
  <si>
    <t>The databases present issues of completeness, consistency, or reliability.</t>
  </si>
  <si>
    <t>Deadlines for data delivery are frequently not met.</t>
  </si>
  <si>
    <t>The data used in the model are not properly documented or understood.</t>
  </si>
  <si>
    <t>Teams face difficulties in accessing the necessary data sources.</t>
  </si>
  <si>
    <t>There is no continuous monitoring of data quality.</t>
  </si>
  <si>
    <t>Data Understanding</t>
  </si>
  <si>
    <t>Data Preparation</t>
  </si>
  <si>
    <t>Data processing is carried out without a well-defined technical standard.</t>
  </si>
  <si>
    <t>Feature engineering is performed without clear technical criteria.</t>
  </si>
  <si>
    <t>The data preparation process requires frequent rework.</t>
  </si>
  <si>
    <t>Data transformations do not undergo formal technical review.</t>
  </si>
  <si>
    <t>There is no centralized repository with version control of the datasets used.</t>
  </si>
  <si>
    <t>The chosen algorithms are inadequate for the modeled problem.</t>
  </si>
  <si>
    <t>The responsible team does not have sufficient technical knowledge.</t>
  </si>
  <si>
    <t>The introduction of macroeconomic scenarios is performed incorrectly or incompletely.</t>
  </si>
  <si>
    <t>Overfitted models are not properly addressed.</t>
  </si>
  <si>
    <t>Cross-validation or similar techniques are not applied.</t>
  </si>
  <si>
    <t>Models are not validated using appropriate statistical metrics.</t>
  </si>
  <si>
    <t>Stability and regulatory compliance tests are flawed or nonexistent.</t>
  </si>
  <si>
    <t>There is no committee or formal instance for technical validation of models.</t>
  </si>
  <si>
    <t>Model validation does not include out-of-sample tests.</t>
  </si>
  <si>
    <t>The evaluation results are not properly documented and archived.</t>
  </si>
  <si>
    <t>Technical and functional model documentation is incomplete or outdated.</t>
  </si>
  <si>
    <t>Integration with IT or accounting systems is flawed or slow.</t>
  </si>
  <si>
    <t>There is no defined schedule for revalidation of models in production.</t>
  </si>
  <si>
    <t>Models in production are not monitored using updated indicators.</t>
  </si>
  <si>
    <t>Production failures or calculation errors are not promptly detected.</t>
  </si>
  <si>
    <t>The process as a whole presents recurring failures and lack of control.</t>
  </si>
  <si>
    <t>Existing controls are insufficient to mitigate operational risks.</t>
  </si>
  <si>
    <t>The level of risk in expected loss modeling is considered high.</t>
  </si>
  <si>
    <t>Communication among areas throughout the process is flawed or ineffective.</t>
  </si>
  <si>
    <t>The organization is not prepared to adapt models to regulatory changes.</t>
  </si>
  <si>
    <t>The maturity of governance regarding the new way of managing the portfolio under the new regulation focused on credit risk.</t>
  </si>
  <si>
    <t>Modeling</t>
  </si>
  <si>
    <t>Model Evaluation</t>
  </si>
  <si>
    <t>Implementation and Monitoring</t>
  </si>
  <si>
    <t>Overview</t>
  </si>
  <si>
    <t>Modeling Stage</t>
  </si>
  <si>
    <t>Expert 1</t>
  </si>
  <si>
    <t>Expert 2</t>
  </si>
  <si>
    <t>Expert 3</t>
  </si>
  <si>
    <t>Occurence</t>
  </si>
  <si>
    <t>Detection</t>
  </si>
  <si>
    <t>Severity</t>
  </si>
  <si>
    <t>Extremely Rare</t>
  </si>
  <si>
    <t>Chance of occurrence lower than 0.1%</t>
  </si>
  <si>
    <t xml:space="preserve">Very Rare </t>
  </si>
  <si>
    <t>Chance of occurrence lower than 1%</t>
  </si>
  <si>
    <t>Rarely Occurs</t>
  </si>
  <si>
    <t>Chance of occurrence between 1% and 3%</t>
  </si>
  <si>
    <t>Has Occurred a Few Times</t>
  </si>
  <si>
    <t>Chance of occurrence between 3% and 5%</t>
  </si>
  <si>
    <t>Occurs Sporadically</t>
  </si>
  <si>
    <t>Chance of occurrence between 5% and 8%</t>
  </si>
  <si>
    <t>Occurs Occasionally</t>
  </si>
  <si>
    <t>Chance of occurrence between 8% and 15%</t>
  </si>
  <si>
    <t>Occurs with Some Regularity</t>
  </si>
  <si>
    <t>Chance of occurrence between 15% and 25%</t>
  </si>
  <si>
    <t>Occurs Frequently</t>
  </si>
  <si>
    <t>Chance of occurrence between 25% and 35%</t>
  </si>
  <si>
    <t>Occurs Very Frequently</t>
  </si>
  <si>
    <t>Chance of occurrence between 35% and 50%</t>
  </si>
  <si>
    <t>Failure Occurs Almost Always</t>
  </si>
  <si>
    <t>Chance of occurrence greater than 50%</t>
  </si>
  <si>
    <t>Occurrence</t>
  </si>
  <si>
    <t>Scoring</t>
  </si>
  <si>
    <t>Description</t>
  </si>
  <si>
    <t>Certain</t>
  </si>
  <si>
    <t>The failure will be detected immediately during model construction, documentation, or validation (robust and automatic controls are in place).</t>
  </si>
  <si>
    <t>Almost Certain</t>
  </si>
  <si>
    <t>The failure will likely be detected during the statistical validation stage or compliance analysis before implementation.</t>
  </si>
  <si>
    <t>High</t>
  </si>
  <si>
    <t>The failure may be detected if a detailed validation and cross-review among areas (e.g., IT, risk, accounting) is performed.</t>
  </si>
  <si>
    <t>Moderately High</t>
  </si>
  <si>
    <t>The failure may be detected if an in-depth analysis is conducted with access to additional data and explanatory models.</t>
  </si>
  <si>
    <t>Moderate</t>
  </si>
  <si>
    <t>The failure may be detected through formal review plus auxiliary indicators, but it requires the mobilization of specialized resources.</t>
  </si>
  <si>
    <t>Low</t>
  </si>
  <si>
    <t>The failure may be detected only if external teams or internal consultancies are mobilized, which does not occur in the standard process.</t>
  </si>
  <si>
    <t>Very Low</t>
  </si>
  <si>
    <t>The failure is very difficult to detect before production deployment, even with internal review.</t>
  </si>
  <si>
    <t>Remote</t>
  </si>
  <si>
    <t>The failure is extremely difficult to identify and would require specific audits or rare retrospective analyses.</t>
  </si>
  <si>
    <t>Very Remote</t>
  </si>
  <si>
    <t>The failure could only be perceived after causing impact, requiring significant forensic or historical effort.</t>
  </si>
  <si>
    <t>Impossible</t>
  </si>
  <si>
    <t>There are no controls that allow prior detection of the failure; it will only be perceived after loss, non-compliance, or regulatory enforcement.</t>
  </si>
  <si>
    <t>None</t>
  </si>
  <si>
    <t>Minor</t>
  </si>
  <si>
    <t>Very High</t>
  </si>
  <si>
    <t>Extremely High</t>
  </si>
  <si>
    <t>Catastrophic</t>
  </si>
  <si>
    <t>The failure does not affect model performance and has no impact on provisioning calculations or the decision-making process.</t>
  </si>
  <si>
    <t>The failure may generate statistically irrelevant impact, with no effect on provisioning or decisions, and occurs in very specific scenarios.</t>
  </si>
  <si>
    <t>May generate slight distortion in the model outputs, with no relevant impact on accounting or managerial reports.</t>
  </si>
  <si>
    <t>May require additional attention in a specific stage of the process, with limited operational impact and delivery delays.</t>
  </si>
  <si>
    <t>May impact model stability or lead to inadequate provisioning in certain segments or specific portfolios.</t>
  </si>
  <si>
    <t>May lead to revision of credit strategies; failures impact relevant groups and require reclassification or model adjustments.</t>
  </si>
  <si>
    <t>Significant impact on risk measurement; may distort provisions and require urgent recalibration or reassessment of the model.</t>
  </si>
  <si>
    <t>Generates critical failures in expected loss estimation; may cause regulatory non-compliance or recurring incorrect provisioning.</t>
  </si>
  <si>
    <t>Interrupts the use of the model; results become unreliable; severe potential losses; requires intervention and an emergency action plan.</t>
  </si>
  <si>
    <t>Direct impact on compliance with CMN 4966/2021 regulation, compromising the integrity of financial reporting, with risk of sanctions and severe material losses.</t>
  </si>
  <si>
    <t>Event</t>
  </si>
  <si>
    <t>Expert</t>
  </si>
  <si>
    <t>Type</t>
  </si>
  <si>
    <t>Mass Function</t>
  </si>
  <si>
    <t>Mass Function Normalization</t>
  </si>
  <si>
    <t>frame of discernment</t>
  </si>
  <si>
    <t xml:space="preserve">RPN </t>
  </si>
  <si>
    <t>Score</t>
  </si>
  <si>
    <t>Modelling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</si>
</sst>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3" xfId="1" applyBorder="1" applyAlignment="1">
      <alignment horizontal="center" vertical="center"/>
    </xf>
    <xf numFmtId="43" fontId="0" fillId="2" borderId="0" xfId="2" applyFont="1" applyFill="1"/>
    <xf numFmtId="43" fontId="0" fillId="0" borderId="0" xfId="2" applyFont="1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43" fontId="0" fillId="3" borderId="0" xfId="2" applyFont="1" applyFill="1"/>
    <xf numFmtId="0" fontId="0" fillId="3" borderId="0" xfId="0" applyFill="1"/>
    <xf numFmtId="0" fontId="0" fillId="2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43" fontId="1" fillId="0" borderId="0" xfId="2" applyFont="1" applyFill="1" applyAlignment="1">
      <alignment horizontal="center"/>
    </xf>
    <xf numFmtId="0" fontId="1" fillId="0" borderId="0" xfId="0" applyFont="1"/>
    <xf numFmtId="164" fontId="0" fillId="0" borderId="0" xfId="2" applyNumberFormat="1" applyFont="1"/>
    <xf numFmtId="164" fontId="0" fillId="0" borderId="0" xfId="2" applyNumberFormat="1" applyFont="1" applyFill="1"/>
    <xf numFmtId="43" fontId="0" fillId="0" borderId="0" xfId="0" applyNumberFormat="1"/>
    <xf numFmtId="0" fontId="0" fillId="4" borderId="0" xfId="0" applyFill="1"/>
    <xf numFmtId="49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49" fontId="0" fillId="4" borderId="0" xfId="0" applyNumberFormat="1" applyFill="1" applyAlignment="1">
      <alignment horizontal="center"/>
    </xf>
    <xf numFmtId="10" fontId="0" fillId="0" borderId="0" xfId="3" applyNumberFormat="1" applyFont="1" applyAlignment="1">
      <alignment horizontal="center"/>
    </xf>
    <xf numFmtId="0" fontId="6" fillId="5" borderId="8" xfId="0" applyFont="1" applyFill="1" applyBorder="1" applyAlignment="1">
      <alignment horizontal="center"/>
    </xf>
    <xf numFmtId="10" fontId="6" fillId="5" borderId="8" xfId="3" applyNumberFormat="1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 vertical="top"/>
    </xf>
    <xf numFmtId="0" fontId="0" fillId="5" borderId="0" xfId="0" applyFill="1" applyAlignment="1">
      <alignment horizontal="center"/>
    </xf>
    <xf numFmtId="10" fontId="0" fillId="5" borderId="0" xfId="3" applyNumberFormat="1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6" fillId="4" borderId="8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43" fontId="0" fillId="0" borderId="0" xfId="2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</cellXfs>
  <cellStyles count="4">
    <cellStyle name="Hiperlink" xfId="1" builtinId="8"/>
    <cellStyle name="Normal" xfId="0" builtinId="0"/>
    <cellStyle name="Porcentagem" xfId="3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C0C4D-842D-4A2C-B8AE-8C57E3CE1CBB}">
  <dimension ref="A1:L38"/>
  <sheetViews>
    <sheetView tabSelected="1" zoomScaleNormal="100" workbookViewId="0">
      <pane ySplit="2" topLeftCell="A3" activePane="bottomLeft" state="frozen"/>
      <selection pane="bottomLeft" activeCell="C13" sqref="C13"/>
    </sheetView>
  </sheetViews>
  <sheetFormatPr defaultRowHeight="15" x14ac:dyDescent="0.25"/>
  <cols>
    <col min="2" max="2" width="32.7109375" bestFit="1" customWidth="1"/>
    <col min="3" max="3" width="85.140625" customWidth="1"/>
    <col min="4" max="4" width="15" style="1" bestFit="1" customWidth="1"/>
    <col min="5" max="5" width="13.85546875" style="1" bestFit="1" customWidth="1"/>
    <col min="6" max="6" width="12.140625" style="1" bestFit="1" customWidth="1"/>
    <col min="7" max="7" width="15" bestFit="1" customWidth="1"/>
    <col min="8" max="8" width="13.85546875" bestFit="1" customWidth="1"/>
    <col min="9" max="9" width="12.140625" bestFit="1" customWidth="1"/>
    <col min="10" max="10" width="10.85546875" bestFit="1" customWidth="1"/>
    <col min="12" max="12" width="10.5703125" bestFit="1" customWidth="1"/>
  </cols>
  <sheetData>
    <row r="1" spans="1:12" x14ac:dyDescent="0.25">
      <c r="D1" s="44" t="s">
        <v>178</v>
      </c>
      <c r="E1" s="44"/>
      <c r="F1" s="44"/>
      <c r="G1" s="45" t="s">
        <v>179</v>
      </c>
      <c r="H1" s="45"/>
      <c r="I1" s="45"/>
      <c r="J1" s="45" t="s">
        <v>180</v>
      </c>
      <c r="K1" s="45"/>
      <c r="L1" s="45"/>
    </row>
    <row r="2" spans="1:12" ht="15.75" thickBot="1" x14ac:dyDescent="0.3">
      <c r="A2" s="9" t="s">
        <v>132</v>
      </c>
      <c r="B2" s="9" t="s">
        <v>177</v>
      </c>
      <c r="C2" s="9" t="s">
        <v>133</v>
      </c>
      <c r="D2" s="14" t="s">
        <v>181</v>
      </c>
      <c r="E2" s="14" t="s">
        <v>182</v>
      </c>
      <c r="F2" s="14" t="s">
        <v>183</v>
      </c>
      <c r="G2" s="14" t="s">
        <v>181</v>
      </c>
      <c r="H2" s="14" t="s">
        <v>182</v>
      </c>
      <c r="I2" s="14" t="s">
        <v>183</v>
      </c>
      <c r="J2" s="14" t="s">
        <v>181</v>
      </c>
      <c r="K2" s="14" t="s">
        <v>182</v>
      </c>
      <c r="L2" s="14" t="s">
        <v>183</v>
      </c>
    </row>
    <row r="3" spans="1:12" ht="18.95" customHeight="1" x14ac:dyDescent="0.25">
      <c r="A3" s="12">
        <v>1</v>
      </c>
      <c r="B3" s="13" t="s">
        <v>134</v>
      </c>
      <c r="C3" s="13" t="s">
        <v>135</v>
      </c>
      <c r="D3" s="1">
        <v>8</v>
      </c>
      <c r="E3" s="1">
        <v>7</v>
      </c>
      <c r="F3" s="1">
        <v>8</v>
      </c>
      <c r="G3" s="1">
        <v>7</v>
      </c>
      <c r="H3" s="1">
        <v>7</v>
      </c>
      <c r="I3" s="1">
        <v>8</v>
      </c>
      <c r="J3">
        <v>8</v>
      </c>
      <c r="K3">
        <v>4</v>
      </c>
      <c r="L3">
        <v>8</v>
      </c>
    </row>
    <row r="4" spans="1:12" s="1" customFormat="1" ht="18.95" customHeight="1" x14ac:dyDescent="0.25">
      <c r="A4" s="12">
        <v>2</v>
      </c>
      <c r="B4" s="13" t="s">
        <v>134</v>
      </c>
      <c r="C4" s="13" t="s">
        <v>136</v>
      </c>
      <c r="D4" s="1">
        <v>10</v>
      </c>
      <c r="E4" s="1">
        <v>3</v>
      </c>
      <c r="F4" s="1">
        <v>7</v>
      </c>
      <c r="G4" s="1">
        <v>10</v>
      </c>
      <c r="H4" s="1">
        <v>4</v>
      </c>
      <c r="I4" s="1">
        <v>9</v>
      </c>
      <c r="J4">
        <v>8</v>
      </c>
      <c r="K4">
        <v>5</v>
      </c>
      <c r="L4">
        <v>6</v>
      </c>
    </row>
    <row r="5" spans="1:12" s="1" customFormat="1" ht="18.95" customHeight="1" x14ac:dyDescent="0.25">
      <c r="A5" s="12">
        <v>3</v>
      </c>
      <c r="B5" s="13" t="s">
        <v>134</v>
      </c>
      <c r="C5" s="13" t="s">
        <v>137</v>
      </c>
      <c r="D5" s="1">
        <v>10</v>
      </c>
      <c r="E5" s="1">
        <v>5</v>
      </c>
      <c r="F5" s="1">
        <v>8</v>
      </c>
      <c r="G5" s="1">
        <v>8</v>
      </c>
      <c r="H5" s="1">
        <v>6</v>
      </c>
      <c r="I5" s="1">
        <v>5</v>
      </c>
      <c r="J5">
        <v>8</v>
      </c>
      <c r="K5">
        <v>6</v>
      </c>
      <c r="L5">
        <v>4</v>
      </c>
    </row>
    <row r="6" spans="1:12" s="1" customFormat="1" ht="18.95" customHeight="1" x14ac:dyDescent="0.25">
      <c r="A6" s="12">
        <v>4</v>
      </c>
      <c r="B6" s="13" t="s">
        <v>134</v>
      </c>
      <c r="C6" s="13" t="s">
        <v>138</v>
      </c>
      <c r="D6" s="1">
        <v>10</v>
      </c>
      <c r="E6" s="1">
        <v>8</v>
      </c>
      <c r="F6" s="1">
        <v>10</v>
      </c>
      <c r="G6" s="1">
        <v>8</v>
      </c>
      <c r="H6" s="1">
        <v>5</v>
      </c>
      <c r="I6" s="1">
        <v>8</v>
      </c>
      <c r="J6">
        <v>7</v>
      </c>
      <c r="K6">
        <v>5</v>
      </c>
      <c r="L6">
        <v>9</v>
      </c>
    </row>
    <row r="7" spans="1:12" s="1" customFormat="1" ht="18.95" customHeight="1" x14ac:dyDescent="0.25">
      <c r="A7" s="12">
        <v>5</v>
      </c>
      <c r="B7" s="13" t="s">
        <v>134</v>
      </c>
      <c r="C7" s="13" t="s">
        <v>139</v>
      </c>
      <c r="D7" s="1">
        <v>10</v>
      </c>
      <c r="E7" s="1">
        <v>10</v>
      </c>
      <c r="F7" s="1">
        <v>10</v>
      </c>
      <c r="G7" s="1">
        <v>3</v>
      </c>
      <c r="H7" s="1">
        <v>5</v>
      </c>
      <c r="I7" s="1">
        <v>5</v>
      </c>
      <c r="J7">
        <v>9</v>
      </c>
      <c r="K7">
        <v>3</v>
      </c>
      <c r="L7">
        <v>8</v>
      </c>
    </row>
    <row r="8" spans="1:12" s="1" customFormat="1" ht="18.95" customHeight="1" x14ac:dyDescent="0.25">
      <c r="A8" s="12">
        <v>6</v>
      </c>
      <c r="B8" s="13" t="s">
        <v>145</v>
      </c>
      <c r="C8" s="13" t="s">
        <v>140</v>
      </c>
      <c r="D8" s="1">
        <v>10</v>
      </c>
      <c r="E8" s="1">
        <v>5</v>
      </c>
      <c r="F8" s="1">
        <v>10</v>
      </c>
      <c r="G8" s="1">
        <v>8</v>
      </c>
      <c r="H8" s="1">
        <v>4</v>
      </c>
      <c r="I8" s="1">
        <v>8</v>
      </c>
      <c r="J8">
        <v>7</v>
      </c>
      <c r="K8">
        <v>5</v>
      </c>
      <c r="L8">
        <v>6</v>
      </c>
    </row>
    <row r="9" spans="1:12" s="1" customFormat="1" ht="18.95" customHeight="1" x14ac:dyDescent="0.25">
      <c r="A9" s="12">
        <v>7</v>
      </c>
      <c r="B9" s="13" t="s">
        <v>145</v>
      </c>
      <c r="C9" s="13" t="s">
        <v>141</v>
      </c>
      <c r="D9" s="1">
        <v>10</v>
      </c>
      <c r="E9" s="1">
        <v>5</v>
      </c>
      <c r="F9" s="1">
        <v>7</v>
      </c>
      <c r="G9" s="1">
        <v>9</v>
      </c>
      <c r="H9" s="1">
        <v>4</v>
      </c>
      <c r="I9" s="1">
        <v>8</v>
      </c>
      <c r="J9">
        <v>4</v>
      </c>
      <c r="K9">
        <v>6</v>
      </c>
      <c r="L9">
        <v>2</v>
      </c>
    </row>
    <row r="10" spans="1:12" s="1" customFormat="1" ht="18.95" customHeight="1" x14ac:dyDescent="0.25">
      <c r="A10" s="12">
        <v>8</v>
      </c>
      <c r="B10" s="13" t="s">
        <v>145</v>
      </c>
      <c r="C10" s="13" t="s">
        <v>142</v>
      </c>
      <c r="D10" s="1">
        <v>7</v>
      </c>
      <c r="E10" s="1">
        <v>8</v>
      </c>
      <c r="F10" s="1">
        <v>6</v>
      </c>
      <c r="G10" s="1">
        <v>5</v>
      </c>
      <c r="H10" s="1">
        <v>3</v>
      </c>
      <c r="I10" s="1">
        <v>6</v>
      </c>
      <c r="J10">
        <v>8</v>
      </c>
      <c r="K10">
        <v>4</v>
      </c>
      <c r="L10">
        <v>9</v>
      </c>
    </row>
    <row r="11" spans="1:12" s="1" customFormat="1" ht="18.95" customHeight="1" x14ac:dyDescent="0.25">
      <c r="A11" s="12">
        <v>9</v>
      </c>
      <c r="B11" s="13" t="s">
        <v>145</v>
      </c>
      <c r="C11" s="13" t="s">
        <v>143</v>
      </c>
      <c r="D11" s="1">
        <v>10</v>
      </c>
      <c r="E11" s="1">
        <v>1</v>
      </c>
      <c r="F11" s="1">
        <v>4</v>
      </c>
      <c r="G11" s="1">
        <v>9</v>
      </c>
      <c r="H11" s="1">
        <v>1</v>
      </c>
      <c r="I11" s="1">
        <v>6</v>
      </c>
      <c r="J11">
        <v>9</v>
      </c>
      <c r="K11">
        <v>6</v>
      </c>
      <c r="L11">
        <v>7</v>
      </c>
    </row>
    <row r="12" spans="1:12" s="1" customFormat="1" ht="18.95" customHeight="1" x14ac:dyDescent="0.25">
      <c r="A12" s="12">
        <v>10</v>
      </c>
      <c r="B12" s="13" t="s">
        <v>145</v>
      </c>
      <c r="C12" s="13" t="s">
        <v>144</v>
      </c>
      <c r="D12" s="1">
        <v>7</v>
      </c>
      <c r="E12" s="1">
        <v>5</v>
      </c>
      <c r="F12" s="1">
        <v>7</v>
      </c>
      <c r="G12" s="1">
        <v>6</v>
      </c>
      <c r="H12" s="1">
        <v>6</v>
      </c>
      <c r="I12" s="1">
        <v>5</v>
      </c>
      <c r="J12">
        <v>8</v>
      </c>
      <c r="K12">
        <v>2</v>
      </c>
      <c r="L12">
        <v>7</v>
      </c>
    </row>
    <row r="13" spans="1:12" s="1" customFormat="1" ht="18.95" customHeight="1" x14ac:dyDescent="0.25">
      <c r="A13" s="12">
        <v>11</v>
      </c>
      <c r="B13" s="13" t="s">
        <v>146</v>
      </c>
      <c r="C13" s="13" t="s">
        <v>147</v>
      </c>
      <c r="D13" s="1">
        <v>5</v>
      </c>
      <c r="E13" s="1">
        <v>6</v>
      </c>
      <c r="F13" s="1">
        <v>7</v>
      </c>
      <c r="G13" s="1">
        <v>4</v>
      </c>
      <c r="H13" s="1">
        <v>6</v>
      </c>
      <c r="I13" s="1">
        <v>6</v>
      </c>
      <c r="J13">
        <v>9</v>
      </c>
      <c r="K13">
        <v>3</v>
      </c>
      <c r="L13">
        <v>6</v>
      </c>
    </row>
    <row r="14" spans="1:12" s="1" customFormat="1" ht="18.95" customHeight="1" x14ac:dyDescent="0.25">
      <c r="A14" s="12">
        <v>12</v>
      </c>
      <c r="B14" s="13" t="s">
        <v>146</v>
      </c>
      <c r="C14" s="13" t="s">
        <v>148</v>
      </c>
      <c r="D14" s="1">
        <v>5</v>
      </c>
      <c r="E14" s="1">
        <v>7</v>
      </c>
      <c r="F14" s="1">
        <v>6</v>
      </c>
      <c r="G14" s="1">
        <v>3</v>
      </c>
      <c r="H14" s="1">
        <v>5</v>
      </c>
      <c r="I14" s="1">
        <v>6</v>
      </c>
      <c r="J14">
        <v>9</v>
      </c>
      <c r="K14">
        <v>6</v>
      </c>
      <c r="L14">
        <v>7</v>
      </c>
    </row>
    <row r="15" spans="1:12" s="1" customFormat="1" ht="18.95" customHeight="1" x14ac:dyDescent="0.25">
      <c r="A15" s="12">
        <v>13</v>
      </c>
      <c r="B15" s="13" t="s">
        <v>146</v>
      </c>
      <c r="C15" s="13" t="s">
        <v>149</v>
      </c>
      <c r="D15" s="1">
        <v>8</v>
      </c>
      <c r="E15" s="1">
        <v>5</v>
      </c>
      <c r="F15" s="1">
        <v>7</v>
      </c>
      <c r="G15" s="1">
        <v>9</v>
      </c>
      <c r="H15" s="1">
        <v>4</v>
      </c>
      <c r="I15" s="1">
        <v>8</v>
      </c>
      <c r="J15">
        <v>9</v>
      </c>
      <c r="K15">
        <v>4</v>
      </c>
      <c r="L15">
        <v>7</v>
      </c>
    </row>
    <row r="16" spans="1:12" s="1" customFormat="1" ht="18.95" customHeight="1" x14ac:dyDescent="0.25">
      <c r="A16" s="12">
        <v>14</v>
      </c>
      <c r="B16" s="13" t="s">
        <v>146</v>
      </c>
      <c r="C16" s="13" t="s">
        <v>150</v>
      </c>
      <c r="D16" s="1">
        <v>8</v>
      </c>
      <c r="E16" s="1">
        <v>1</v>
      </c>
      <c r="F16" s="1">
        <v>9</v>
      </c>
      <c r="G16" s="1">
        <v>5</v>
      </c>
      <c r="H16" s="1">
        <v>2</v>
      </c>
      <c r="I16" s="1">
        <v>8</v>
      </c>
      <c r="J16">
        <v>9</v>
      </c>
      <c r="K16">
        <v>4</v>
      </c>
      <c r="L16">
        <v>6</v>
      </c>
    </row>
    <row r="17" spans="1:12" s="1" customFormat="1" ht="18.95" customHeight="1" x14ac:dyDescent="0.25">
      <c r="A17" s="12">
        <v>15</v>
      </c>
      <c r="B17" s="13" t="s">
        <v>146</v>
      </c>
      <c r="C17" s="13" t="s">
        <v>151</v>
      </c>
      <c r="D17" s="1">
        <v>8</v>
      </c>
      <c r="E17" s="1">
        <v>1</v>
      </c>
      <c r="F17" s="1">
        <v>8</v>
      </c>
      <c r="G17" s="1">
        <v>6</v>
      </c>
      <c r="H17" s="1">
        <v>3</v>
      </c>
      <c r="I17" s="1">
        <v>7</v>
      </c>
      <c r="J17">
        <v>7</v>
      </c>
      <c r="K17">
        <v>4</v>
      </c>
      <c r="L17">
        <v>7</v>
      </c>
    </row>
    <row r="18" spans="1:12" s="1" customFormat="1" ht="18.95" customHeight="1" x14ac:dyDescent="0.25">
      <c r="A18" s="12">
        <v>16</v>
      </c>
      <c r="B18" s="13" t="s">
        <v>173</v>
      </c>
      <c r="C18" s="13" t="s">
        <v>152</v>
      </c>
      <c r="D18" s="1">
        <v>2</v>
      </c>
      <c r="E18" s="1">
        <v>10</v>
      </c>
      <c r="F18" s="1">
        <v>9</v>
      </c>
      <c r="G18" s="1">
        <v>4</v>
      </c>
      <c r="H18" s="1">
        <v>9</v>
      </c>
      <c r="I18" s="1">
        <v>8</v>
      </c>
      <c r="J18">
        <v>5</v>
      </c>
      <c r="K18">
        <v>4</v>
      </c>
      <c r="L18">
        <v>6</v>
      </c>
    </row>
    <row r="19" spans="1:12" s="1" customFormat="1" ht="18.95" customHeight="1" x14ac:dyDescent="0.25">
      <c r="A19" s="12">
        <v>17</v>
      </c>
      <c r="B19" s="13" t="s">
        <v>173</v>
      </c>
      <c r="C19" s="13" t="s">
        <v>153</v>
      </c>
      <c r="D19" s="1">
        <v>2</v>
      </c>
      <c r="E19" s="1">
        <v>3</v>
      </c>
      <c r="F19" s="1">
        <v>8</v>
      </c>
      <c r="G19" s="1">
        <v>2</v>
      </c>
      <c r="H19" s="1">
        <v>5</v>
      </c>
      <c r="I19" s="1">
        <v>9</v>
      </c>
      <c r="J19">
        <v>5</v>
      </c>
      <c r="K19">
        <v>3</v>
      </c>
      <c r="L19">
        <v>7</v>
      </c>
    </row>
    <row r="20" spans="1:12" s="1" customFormat="1" ht="18.95" customHeight="1" x14ac:dyDescent="0.25">
      <c r="A20" s="12">
        <v>18</v>
      </c>
      <c r="B20" s="13" t="s">
        <v>173</v>
      </c>
      <c r="C20" s="13" t="s">
        <v>154</v>
      </c>
      <c r="D20" s="1">
        <v>4</v>
      </c>
      <c r="E20" s="1">
        <v>5</v>
      </c>
      <c r="F20" s="1">
        <v>7</v>
      </c>
      <c r="G20" s="1">
        <v>5</v>
      </c>
      <c r="H20" s="1">
        <v>6</v>
      </c>
      <c r="I20" s="1">
        <v>9</v>
      </c>
      <c r="J20">
        <v>7</v>
      </c>
      <c r="K20">
        <v>6</v>
      </c>
      <c r="L20">
        <v>9</v>
      </c>
    </row>
    <row r="21" spans="1:12" s="1" customFormat="1" ht="18.95" customHeight="1" x14ac:dyDescent="0.25">
      <c r="A21" s="12">
        <v>19</v>
      </c>
      <c r="B21" s="13" t="s">
        <v>173</v>
      </c>
      <c r="C21" s="13" t="s">
        <v>155</v>
      </c>
      <c r="D21" s="1">
        <v>5</v>
      </c>
      <c r="E21" s="1">
        <v>8</v>
      </c>
      <c r="F21" s="1">
        <v>8</v>
      </c>
      <c r="G21" s="1">
        <v>2</v>
      </c>
      <c r="H21" s="1">
        <v>5</v>
      </c>
      <c r="I21" s="1">
        <v>8</v>
      </c>
      <c r="J21">
        <v>4</v>
      </c>
      <c r="K21">
        <v>5</v>
      </c>
      <c r="L21">
        <v>8</v>
      </c>
    </row>
    <row r="22" spans="1:12" s="1" customFormat="1" ht="18.95" customHeight="1" x14ac:dyDescent="0.25">
      <c r="A22" s="12">
        <v>20</v>
      </c>
      <c r="B22" s="13" t="s">
        <v>173</v>
      </c>
      <c r="C22" s="13" t="s">
        <v>156</v>
      </c>
      <c r="D22" s="1">
        <v>1</v>
      </c>
      <c r="E22" s="1">
        <v>10</v>
      </c>
      <c r="F22" s="1">
        <v>8</v>
      </c>
      <c r="G22" s="1">
        <v>1</v>
      </c>
      <c r="H22" s="1">
        <v>4</v>
      </c>
      <c r="I22" s="1">
        <v>8</v>
      </c>
      <c r="J22">
        <v>8</v>
      </c>
      <c r="K22">
        <v>5</v>
      </c>
      <c r="L22">
        <v>7</v>
      </c>
    </row>
    <row r="23" spans="1:12" s="1" customFormat="1" ht="18.95" customHeight="1" x14ac:dyDescent="0.25">
      <c r="A23" s="12">
        <v>21</v>
      </c>
      <c r="B23" s="13" t="s">
        <v>174</v>
      </c>
      <c r="C23" s="13" t="s">
        <v>157</v>
      </c>
      <c r="D23" s="1">
        <v>7</v>
      </c>
      <c r="E23" s="1">
        <v>10</v>
      </c>
      <c r="F23" s="1">
        <v>7</v>
      </c>
      <c r="G23" s="1">
        <v>5</v>
      </c>
      <c r="H23" s="1">
        <v>9</v>
      </c>
      <c r="I23" s="1">
        <v>9</v>
      </c>
      <c r="J23">
        <v>3</v>
      </c>
      <c r="K23">
        <v>3</v>
      </c>
      <c r="L23">
        <v>8</v>
      </c>
    </row>
    <row r="24" spans="1:12" s="1" customFormat="1" ht="18.95" customHeight="1" x14ac:dyDescent="0.25">
      <c r="A24" s="12">
        <v>22</v>
      </c>
      <c r="B24" s="13" t="s">
        <v>174</v>
      </c>
      <c r="C24" s="13" t="s">
        <v>158</v>
      </c>
      <c r="D24" s="1">
        <v>10</v>
      </c>
      <c r="E24" s="1">
        <v>10</v>
      </c>
      <c r="F24" s="1">
        <v>7</v>
      </c>
      <c r="G24" s="1">
        <v>8</v>
      </c>
      <c r="H24" s="1">
        <v>7</v>
      </c>
      <c r="I24" s="1">
        <v>8</v>
      </c>
      <c r="J24">
        <v>7</v>
      </c>
      <c r="K24">
        <v>4</v>
      </c>
      <c r="L24">
        <v>8</v>
      </c>
    </row>
    <row r="25" spans="1:12" s="1" customFormat="1" ht="18.95" customHeight="1" x14ac:dyDescent="0.25">
      <c r="A25" s="12">
        <v>23</v>
      </c>
      <c r="B25" s="13" t="s">
        <v>174</v>
      </c>
      <c r="C25" s="13" t="s">
        <v>159</v>
      </c>
      <c r="D25" s="1">
        <v>10</v>
      </c>
      <c r="E25" s="1">
        <v>1</v>
      </c>
      <c r="F25" s="1">
        <v>10</v>
      </c>
      <c r="G25" s="1">
        <v>3</v>
      </c>
      <c r="H25" s="1">
        <v>1</v>
      </c>
      <c r="I25" s="1">
        <v>9</v>
      </c>
      <c r="J25">
        <v>3</v>
      </c>
      <c r="K25">
        <v>5</v>
      </c>
      <c r="L25">
        <v>8</v>
      </c>
    </row>
    <row r="26" spans="1:12" s="1" customFormat="1" ht="18.95" customHeight="1" x14ac:dyDescent="0.25">
      <c r="A26" s="12">
        <v>24</v>
      </c>
      <c r="B26" s="13" t="s">
        <v>174</v>
      </c>
      <c r="C26" s="13" t="s">
        <v>160</v>
      </c>
      <c r="D26" s="1">
        <v>10</v>
      </c>
      <c r="E26" s="1">
        <v>1</v>
      </c>
      <c r="F26" s="1">
        <v>7</v>
      </c>
      <c r="G26" s="1">
        <v>3</v>
      </c>
      <c r="H26" s="1">
        <v>2</v>
      </c>
      <c r="I26" s="1">
        <v>9</v>
      </c>
      <c r="J26">
        <v>3</v>
      </c>
      <c r="K26">
        <v>6</v>
      </c>
      <c r="L26">
        <v>6</v>
      </c>
    </row>
    <row r="27" spans="1:12" s="1" customFormat="1" ht="18.95" customHeight="1" x14ac:dyDescent="0.25">
      <c r="A27" s="12">
        <v>25</v>
      </c>
      <c r="B27" s="13" t="s">
        <v>174</v>
      </c>
      <c r="C27" s="13" t="s">
        <v>161</v>
      </c>
      <c r="D27" s="1">
        <v>10</v>
      </c>
      <c r="E27" s="1">
        <v>1</v>
      </c>
      <c r="F27" s="1">
        <v>4</v>
      </c>
      <c r="G27" s="1">
        <v>2</v>
      </c>
      <c r="H27" s="1">
        <v>5</v>
      </c>
      <c r="I27" s="1">
        <v>7</v>
      </c>
      <c r="J27">
        <v>3</v>
      </c>
      <c r="K27">
        <v>7</v>
      </c>
      <c r="L27">
        <v>4</v>
      </c>
    </row>
    <row r="28" spans="1:12" s="1" customFormat="1" ht="18.95" customHeight="1" x14ac:dyDescent="0.25">
      <c r="A28" s="12">
        <v>26</v>
      </c>
      <c r="B28" s="13" t="s">
        <v>175</v>
      </c>
      <c r="C28" s="13" t="s">
        <v>162</v>
      </c>
      <c r="D28" s="1">
        <v>7</v>
      </c>
      <c r="E28" s="1">
        <v>3</v>
      </c>
      <c r="F28" s="1">
        <v>3</v>
      </c>
      <c r="G28" s="1">
        <v>6</v>
      </c>
      <c r="H28" s="1">
        <v>2</v>
      </c>
      <c r="I28" s="1">
        <v>6</v>
      </c>
      <c r="J28">
        <v>7</v>
      </c>
      <c r="K28">
        <v>3</v>
      </c>
      <c r="L28">
        <v>6</v>
      </c>
    </row>
    <row r="29" spans="1:12" s="1" customFormat="1" ht="18.95" customHeight="1" x14ac:dyDescent="0.25">
      <c r="A29" s="12">
        <v>27</v>
      </c>
      <c r="B29" s="13" t="s">
        <v>175</v>
      </c>
      <c r="C29" s="13" t="s">
        <v>163</v>
      </c>
      <c r="D29" s="1">
        <v>10</v>
      </c>
      <c r="E29" s="1">
        <v>1</v>
      </c>
      <c r="F29" s="1">
        <v>6</v>
      </c>
      <c r="G29" s="1">
        <v>6</v>
      </c>
      <c r="H29" s="1">
        <v>4</v>
      </c>
      <c r="I29" s="1">
        <v>9</v>
      </c>
      <c r="J29">
        <v>8</v>
      </c>
      <c r="K29">
        <v>3</v>
      </c>
      <c r="L29">
        <v>7</v>
      </c>
    </row>
    <row r="30" spans="1:12" s="1" customFormat="1" ht="18.95" customHeight="1" x14ac:dyDescent="0.25">
      <c r="A30" s="12">
        <v>28</v>
      </c>
      <c r="B30" s="13" t="s">
        <v>175</v>
      </c>
      <c r="C30" s="13" t="s">
        <v>164</v>
      </c>
      <c r="D30" s="1">
        <v>10</v>
      </c>
      <c r="E30" s="1">
        <v>1</v>
      </c>
      <c r="F30" s="1">
        <v>7</v>
      </c>
      <c r="G30" s="1">
        <v>2</v>
      </c>
      <c r="H30" s="1">
        <v>3</v>
      </c>
      <c r="I30" s="1">
        <v>6</v>
      </c>
      <c r="J30">
        <v>8</v>
      </c>
      <c r="K30">
        <v>4</v>
      </c>
      <c r="L30">
        <v>6</v>
      </c>
    </row>
    <row r="31" spans="1:12" s="1" customFormat="1" ht="18.95" customHeight="1" x14ac:dyDescent="0.25">
      <c r="A31" s="12">
        <v>29</v>
      </c>
      <c r="B31" s="13" t="s">
        <v>175</v>
      </c>
      <c r="C31" s="13" t="s">
        <v>165</v>
      </c>
      <c r="D31" s="1">
        <v>10</v>
      </c>
      <c r="E31" s="1">
        <v>1</v>
      </c>
      <c r="F31" s="1">
        <v>7</v>
      </c>
      <c r="G31" s="1">
        <v>6</v>
      </c>
      <c r="H31" s="1">
        <v>2</v>
      </c>
      <c r="I31" s="1">
        <v>6</v>
      </c>
      <c r="J31">
        <v>9</v>
      </c>
      <c r="K31">
        <v>5</v>
      </c>
      <c r="L31">
        <v>8</v>
      </c>
    </row>
    <row r="32" spans="1:12" s="1" customFormat="1" ht="18.95" customHeight="1" x14ac:dyDescent="0.25">
      <c r="A32" s="12">
        <v>30</v>
      </c>
      <c r="B32" s="13" t="s">
        <v>175</v>
      </c>
      <c r="C32" s="13" t="s">
        <v>166</v>
      </c>
      <c r="D32" s="1">
        <v>10</v>
      </c>
      <c r="E32" s="1">
        <v>10</v>
      </c>
      <c r="F32" s="1">
        <v>8</v>
      </c>
      <c r="G32" s="1">
        <v>8</v>
      </c>
      <c r="H32" s="1">
        <v>7</v>
      </c>
      <c r="I32" s="1">
        <v>9</v>
      </c>
      <c r="J32">
        <v>6</v>
      </c>
      <c r="K32">
        <v>7</v>
      </c>
      <c r="L32">
        <v>9</v>
      </c>
    </row>
    <row r="33" spans="1:12" s="1" customFormat="1" ht="18.95" customHeight="1" x14ac:dyDescent="0.25">
      <c r="A33" s="12">
        <v>31</v>
      </c>
      <c r="B33" s="13" t="s">
        <v>176</v>
      </c>
      <c r="C33" s="13" t="s">
        <v>167</v>
      </c>
      <c r="D33" s="1">
        <v>10</v>
      </c>
      <c r="E33" s="1">
        <v>6</v>
      </c>
      <c r="F33" s="1">
        <v>10</v>
      </c>
      <c r="G33" s="1">
        <v>5</v>
      </c>
      <c r="H33" s="1">
        <v>3</v>
      </c>
      <c r="I33" s="1">
        <v>6</v>
      </c>
      <c r="J33">
        <v>6</v>
      </c>
      <c r="K33">
        <v>6</v>
      </c>
      <c r="L33">
        <v>8</v>
      </c>
    </row>
    <row r="34" spans="1:12" s="1" customFormat="1" ht="18.95" customHeight="1" x14ac:dyDescent="0.25">
      <c r="A34" s="12">
        <v>32</v>
      </c>
      <c r="B34" s="13" t="s">
        <v>176</v>
      </c>
      <c r="C34" s="13" t="s">
        <v>168</v>
      </c>
      <c r="D34" s="1">
        <v>10</v>
      </c>
      <c r="E34" s="1">
        <v>7</v>
      </c>
      <c r="F34" s="1">
        <v>4</v>
      </c>
      <c r="G34" s="1">
        <v>6</v>
      </c>
      <c r="H34" s="1">
        <v>4</v>
      </c>
      <c r="I34" s="1">
        <v>7</v>
      </c>
      <c r="J34">
        <v>7</v>
      </c>
      <c r="K34">
        <v>6</v>
      </c>
      <c r="L34">
        <v>8</v>
      </c>
    </row>
    <row r="35" spans="1:12" s="1" customFormat="1" ht="18.95" customHeight="1" x14ac:dyDescent="0.25">
      <c r="A35" s="12">
        <v>33</v>
      </c>
      <c r="B35" s="13" t="s">
        <v>176</v>
      </c>
      <c r="C35" s="13" t="s">
        <v>169</v>
      </c>
      <c r="D35" s="1">
        <v>10</v>
      </c>
      <c r="E35" s="1">
        <v>8</v>
      </c>
      <c r="F35" s="1">
        <v>10</v>
      </c>
      <c r="G35" s="1">
        <v>10</v>
      </c>
      <c r="H35" s="1">
        <v>5</v>
      </c>
      <c r="I35" s="1">
        <v>10</v>
      </c>
      <c r="J35">
        <v>1</v>
      </c>
      <c r="K35">
        <v>6</v>
      </c>
      <c r="L35">
        <v>8</v>
      </c>
    </row>
    <row r="36" spans="1:12" s="1" customFormat="1" ht="18.95" customHeight="1" x14ac:dyDescent="0.25">
      <c r="A36" s="12">
        <v>34</v>
      </c>
      <c r="B36" s="13" t="s">
        <v>176</v>
      </c>
      <c r="C36" s="13" t="s">
        <v>170</v>
      </c>
      <c r="D36" s="1">
        <v>10</v>
      </c>
      <c r="E36" s="1">
        <v>5</v>
      </c>
      <c r="F36" s="1">
        <v>6</v>
      </c>
      <c r="G36" s="1">
        <v>7</v>
      </c>
      <c r="H36" s="1">
        <v>7</v>
      </c>
      <c r="I36" s="1">
        <v>7</v>
      </c>
      <c r="J36">
        <v>8</v>
      </c>
      <c r="K36">
        <v>7</v>
      </c>
      <c r="L36">
        <v>9</v>
      </c>
    </row>
    <row r="37" spans="1:12" s="1" customFormat="1" ht="18.95" customHeight="1" x14ac:dyDescent="0.25">
      <c r="A37" s="12">
        <v>35</v>
      </c>
      <c r="B37" s="13" t="s">
        <v>176</v>
      </c>
      <c r="C37" s="13" t="s">
        <v>171</v>
      </c>
      <c r="D37" s="1">
        <v>10</v>
      </c>
      <c r="E37" s="1">
        <v>6</v>
      </c>
      <c r="F37" s="1">
        <v>8</v>
      </c>
      <c r="G37" s="1">
        <v>5</v>
      </c>
      <c r="H37" s="1">
        <v>4</v>
      </c>
      <c r="I37" s="1">
        <v>8</v>
      </c>
      <c r="J37">
        <v>5</v>
      </c>
      <c r="K37">
        <v>8</v>
      </c>
      <c r="L37">
        <v>9</v>
      </c>
    </row>
    <row r="38" spans="1:12" ht="15.75" x14ac:dyDescent="0.25">
      <c r="A38" s="12">
        <v>36</v>
      </c>
      <c r="B38" s="13" t="s">
        <v>176</v>
      </c>
      <c r="C38" s="13" t="s">
        <v>172</v>
      </c>
      <c r="D38" s="1">
        <v>10</v>
      </c>
      <c r="E38" s="1">
        <v>10</v>
      </c>
      <c r="F38" s="1">
        <v>10</v>
      </c>
      <c r="G38" s="1">
        <v>8</v>
      </c>
      <c r="H38" s="1">
        <v>9</v>
      </c>
      <c r="I38" s="1">
        <v>9</v>
      </c>
      <c r="J38" s="1">
        <v>7</v>
      </c>
      <c r="K38" s="1">
        <v>7</v>
      </c>
      <c r="L38" s="1">
        <v>9</v>
      </c>
    </row>
  </sheetData>
  <autoFilter ref="A2:I38" xr:uid="{ADCC0C4D-842D-4A2C-B8AE-8C57E3CE1CBB}">
    <sortState xmlns:xlrd2="http://schemas.microsoft.com/office/spreadsheetml/2017/richdata2" ref="A18:I22">
      <sortCondition ref="B2:B38"/>
    </sortState>
  </autoFilter>
  <mergeCells count="3">
    <mergeCell ref="D1:F1"/>
    <mergeCell ref="G1:I1"/>
    <mergeCell ref="J1:L1"/>
  </mergeCells>
  <hyperlinks>
    <hyperlink ref="D2" location="Ocorrência!A1" display="Ocorrência" xr:uid="{3DE9926A-CE8F-474D-B410-7230DF5536DE}"/>
    <hyperlink ref="E2" location="Detecção!A1" display="Detecção" xr:uid="{D5A7B992-FEBC-4EB9-A924-63232E9AC5D0}"/>
    <hyperlink ref="F2" location="Severidade!A1" display="Severidade" xr:uid="{1CCDEBE7-245B-4B45-A9E7-17FD03D11FB2}"/>
    <hyperlink ref="G2" location="Ocorrência!A1" display="Ocorrência" xr:uid="{80DFA678-E60E-4B4F-B179-13BE0FBC80AB}"/>
    <hyperlink ref="J2" location="Ocorrência!A1" display="Ocorrência" xr:uid="{C0DD932A-2F1A-4A6A-9593-DE9592442E58}"/>
    <hyperlink ref="H2" location="Detecção!A1" display="Detecção" xr:uid="{E1B0644B-DAD1-4666-9EBF-76F6E59614BF}"/>
    <hyperlink ref="K2" location="Detecção!A1" display="Detecção" xr:uid="{E8DBBA25-F5D1-447D-A9DD-DA763282C594}"/>
    <hyperlink ref="I2" location="Severidade!A1" display="Severidade" xr:uid="{FD8297A7-AC00-44B2-8A11-11274716A3A8}"/>
    <hyperlink ref="L2" location="Severidade!A1" display="Severidade" xr:uid="{8545D249-8158-4F6E-A91C-7D6BD377B200}"/>
  </hyperlinks>
  <pageMargins left="0.511811024" right="0.511811024" top="0.78740157499999996" bottom="0.78740157499999996" header="0.31496062000000002" footer="0.31496062000000002"/>
  <headerFooter>
    <oddFooter>&amp;C_x000D_&amp;1#&amp;"Calibri"&amp;10&amp;K000000 Ostensivo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FD4EDC-6EF7-41B7-93E4-04539FC96681}">
          <x14:formula1>
            <xm:f>'tabelaas de nota'!$A$1:$A$10</xm:f>
          </x14:formula1>
          <xm:sqref>D3:F38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6059A-F407-4217-803A-F244DC7701E8}">
  <dimension ref="A1:A10"/>
  <sheetViews>
    <sheetView workbookViewId="0">
      <selection activeCell="G16" sqref="G16"/>
    </sheetView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4</v>
      </c>
    </row>
    <row r="5" spans="1:1" x14ac:dyDescent="0.25">
      <c r="A5">
        <v>5</v>
      </c>
    </row>
    <row r="6" spans="1:1" x14ac:dyDescent="0.25">
      <c r="A6">
        <v>6</v>
      </c>
    </row>
    <row r="7" spans="1:1" x14ac:dyDescent="0.25">
      <c r="A7">
        <v>7</v>
      </c>
    </row>
    <row r="8" spans="1:1" x14ac:dyDescent="0.25">
      <c r="A8">
        <v>8</v>
      </c>
    </row>
    <row r="9" spans="1:1" x14ac:dyDescent="0.25">
      <c r="A9">
        <v>9</v>
      </c>
    </row>
    <row r="10" spans="1:1" x14ac:dyDescent="0.25">
      <c r="A10">
        <v>10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&amp;C_x000D_&amp;1#&amp;"Calibri"&amp;10&amp;K000000 Ostensivo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A9EBB-1683-4126-877D-840EE56F19C0}">
  <dimension ref="A1:H36"/>
  <sheetViews>
    <sheetView zoomScaleNormal="100" workbookViewId="0">
      <pane ySplit="1" topLeftCell="A2" activePane="bottomLeft" state="frozen"/>
      <selection pane="bottomLeft" activeCell="C6" sqref="C6"/>
    </sheetView>
  </sheetViews>
  <sheetFormatPr defaultRowHeight="15" x14ac:dyDescent="0.25"/>
  <cols>
    <col min="3" max="3" width="11.7109375" bestFit="1" customWidth="1"/>
    <col min="4" max="4" width="32.7109375" bestFit="1" customWidth="1"/>
    <col min="5" max="5" width="85.140625" customWidth="1"/>
    <col min="6" max="6" width="10.85546875" bestFit="1" customWidth="1"/>
    <col min="7" max="7" width="9.5703125" customWidth="1"/>
    <col min="8" max="8" width="12.42578125" customWidth="1"/>
  </cols>
  <sheetData>
    <row r="1" spans="1:8" ht="15.75" thickBot="1" x14ac:dyDescent="0.3">
      <c r="A1" s="9" t="s">
        <v>89</v>
      </c>
      <c r="B1" s="9" t="s">
        <v>90</v>
      </c>
      <c r="C1" s="9" t="s">
        <v>91</v>
      </c>
      <c r="D1" s="9" t="s">
        <v>87</v>
      </c>
      <c r="E1" s="9" t="s">
        <v>88</v>
      </c>
      <c r="F1" s="9" t="s">
        <v>1</v>
      </c>
      <c r="G1" s="9" t="s">
        <v>2</v>
      </c>
      <c r="H1" s="9" t="s">
        <v>3</v>
      </c>
    </row>
    <row r="2" spans="1:8" ht="18.95" customHeight="1" x14ac:dyDescent="0.25">
      <c r="A2" s="12">
        <v>1</v>
      </c>
      <c r="B2" s="12">
        <v>1</v>
      </c>
      <c r="C2" s="12" t="str">
        <f>B2&amp;"."&amp;A2</f>
        <v>1.1</v>
      </c>
      <c r="D2" s="13" t="s">
        <v>45</v>
      </c>
      <c r="E2" s="13" t="s">
        <v>46</v>
      </c>
    </row>
    <row r="3" spans="1:8" s="1" customFormat="1" ht="18.95" customHeight="1" x14ac:dyDescent="0.25">
      <c r="A3" s="12">
        <v>2</v>
      </c>
      <c r="B3" s="12">
        <v>1</v>
      </c>
      <c r="C3" s="12" t="str">
        <f>B3&amp;"."&amp;A3</f>
        <v>1.2</v>
      </c>
      <c r="D3" s="13" t="s">
        <v>45</v>
      </c>
      <c r="E3" s="13" t="s">
        <v>47</v>
      </c>
    </row>
    <row r="4" spans="1:8" s="1" customFormat="1" ht="18.95" customHeight="1" x14ac:dyDescent="0.25">
      <c r="A4" s="12">
        <v>3</v>
      </c>
      <c r="B4" s="12">
        <v>1</v>
      </c>
      <c r="C4" s="12" t="str">
        <f>B4&amp;"."&amp;A4</f>
        <v>1.3</v>
      </c>
      <c r="D4" s="13" t="s">
        <v>45</v>
      </c>
      <c r="E4" s="13" t="s">
        <v>48</v>
      </c>
    </row>
    <row r="5" spans="1:8" s="1" customFormat="1" ht="18.95" customHeight="1" x14ac:dyDescent="0.25">
      <c r="A5" s="12">
        <v>4</v>
      </c>
      <c r="B5" s="12">
        <v>1</v>
      </c>
      <c r="C5" s="12" t="str">
        <f>B5&amp;"."&amp;A5</f>
        <v>1.4</v>
      </c>
      <c r="D5" s="13" t="s">
        <v>45</v>
      </c>
      <c r="E5" s="13" t="s">
        <v>49</v>
      </c>
    </row>
    <row r="6" spans="1:8" s="1" customFormat="1" ht="18.95" customHeight="1" x14ac:dyDescent="0.25">
      <c r="A6" s="12">
        <v>5</v>
      </c>
      <c r="B6" s="12">
        <v>1</v>
      </c>
      <c r="C6" s="12" t="str">
        <f>B6&amp;"."&amp;A6</f>
        <v>1.5</v>
      </c>
      <c r="D6" s="13" t="s">
        <v>45</v>
      </c>
      <c r="E6" s="13" t="s">
        <v>50</v>
      </c>
    </row>
    <row r="7" spans="1:8" s="1" customFormat="1" ht="18.95" customHeight="1" x14ac:dyDescent="0.25">
      <c r="A7" s="12">
        <v>6</v>
      </c>
      <c r="B7" s="12">
        <v>2</v>
      </c>
      <c r="C7" s="12" t="str">
        <f>B7&amp;"."&amp;A2</f>
        <v>2.1</v>
      </c>
      <c r="D7" s="13" t="s">
        <v>81</v>
      </c>
      <c r="E7" s="13" t="s">
        <v>51</v>
      </c>
    </row>
    <row r="8" spans="1:8" s="1" customFormat="1" ht="18.95" customHeight="1" x14ac:dyDescent="0.25">
      <c r="A8" s="12">
        <v>7</v>
      </c>
      <c r="B8" s="12">
        <v>2</v>
      </c>
      <c r="C8" s="12" t="str">
        <f>B8&amp;"."&amp;A3</f>
        <v>2.2</v>
      </c>
      <c r="D8" s="13" t="s">
        <v>81</v>
      </c>
      <c r="E8" s="13" t="s">
        <v>52</v>
      </c>
    </row>
    <row r="9" spans="1:8" s="1" customFormat="1" ht="18.95" customHeight="1" x14ac:dyDescent="0.25">
      <c r="A9" s="12">
        <v>8</v>
      </c>
      <c r="B9" s="12">
        <v>2</v>
      </c>
      <c r="C9" s="12" t="str">
        <f>B9&amp;"."&amp;A4</f>
        <v>2.3</v>
      </c>
      <c r="D9" s="13" t="s">
        <v>81</v>
      </c>
      <c r="E9" s="13" t="s">
        <v>53</v>
      </c>
    </row>
    <row r="10" spans="1:8" s="1" customFormat="1" ht="18.95" customHeight="1" x14ac:dyDescent="0.25">
      <c r="A10" s="12">
        <v>9</v>
      </c>
      <c r="B10" s="12">
        <v>2</v>
      </c>
      <c r="C10" s="12" t="str">
        <f>B10&amp;"."&amp;A5</f>
        <v>2.4</v>
      </c>
      <c r="D10" s="13" t="s">
        <v>81</v>
      </c>
      <c r="E10" s="13" t="s">
        <v>54</v>
      </c>
    </row>
    <row r="11" spans="1:8" s="1" customFormat="1" ht="18.95" customHeight="1" x14ac:dyDescent="0.25">
      <c r="A11" s="12">
        <v>10</v>
      </c>
      <c r="B11" s="12">
        <v>2</v>
      </c>
      <c r="C11" s="12" t="str">
        <f>B11&amp;"."&amp;A6</f>
        <v>2.5</v>
      </c>
      <c r="D11" s="13" t="s">
        <v>81</v>
      </c>
      <c r="E11" s="13" t="s">
        <v>55</v>
      </c>
    </row>
    <row r="12" spans="1:8" s="1" customFormat="1" ht="18.95" customHeight="1" x14ac:dyDescent="0.25">
      <c r="A12" s="12">
        <v>11</v>
      </c>
      <c r="B12" s="12">
        <v>3</v>
      </c>
      <c r="C12" s="12" t="str">
        <f>B12&amp;"."&amp;A2</f>
        <v>3.1</v>
      </c>
      <c r="D12" s="13" t="s">
        <v>82</v>
      </c>
      <c r="E12" s="13" t="s">
        <v>56</v>
      </c>
    </row>
    <row r="13" spans="1:8" s="1" customFormat="1" ht="18.95" customHeight="1" x14ac:dyDescent="0.25">
      <c r="A13" s="12">
        <v>12</v>
      </c>
      <c r="B13" s="12">
        <v>3</v>
      </c>
      <c r="C13" s="12" t="str">
        <f>B13&amp;"."&amp;A3</f>
        <v>3.2</v>
      </c>
      <c r="D13" s="13" t="s">
        <v>82</v>
      </c>
      <c r="E13" s="13" t="s">
        <v>57</v>
      </c>
    </row>
    <row r="14" spans="1:8" s="1" customFormat="1" ht="18.95" customHeight="1" x14ac:dyDescent="0.25">
      <c r="A14" s="12">
        <v>13</v>
      </c>
      <c r="B14" s="12">
        <v>3</v>
      </c>
      <c r="C14" s="12" t="str">
        <f>B14&amp;"."&amp;A4</f>
        <v>3.3</v>
      </c>
      <c r="D14" s="13" t="s">
        <v>82</v>
      </c>
      <c r="E14" s="13" t="s">
        <v>58</v>
      </c>
    </row>
    <row r="15" spans="1:8" s="1" customFormat="1" ht="18.95" customHeight="1" x14ac:dyDescent="0.25">
      <c r="A15" s="12">
        <v>14</v>
      </c>
      <c r="B15" s="12">
        <v>3</v>
      </c>
      <c r="C15" s="12" t="str">
        <f>B15&amp;"."&amp;A5</f>
        <v>3.4</v>
      </c>
      <c r="D15" s="13" t="s">
        <v>82</v>
      </c>
      <c r="E15" s="13" t="s">
        <v>59</v>
      </c>
    </row>
    <row r="16" spans="1:8" s="1" customFormat="1" ht="18.95" customHeight="1" x14ac:dyDescent="0.25">
      <c r="A16" s="12">
        <v>15</v>
      </c>
      <c r="B16" s="12">
        <v>3</v>
      </c>
      <c r="C16" s="12" t="str">
        <f>B16&amp;"."&amp;A6</f>
        <v>3.5</v>
      </c>
      <c r="D16" s="13" t="s">
        <v>82</v>
      </c>
      <c r="E16" s="13" t="s">
        <v>60</v>
      </c>
    </row>
    <row r="17" spans="1:5" s="1" customFormat="1" ht="18.95" customHeight="1" x14ac:dyDescent="0.25">
      <c r="A17" s="12">
        <v>16</v>
      </c>
      <c r="B17" s="12">
        <v>4</v>
      </c>
      <c r="C17" s="12" t="str">
        <f>B17&amp;"."&amp;A2</f>
        <v>4.1</v>
      </c>
      <c r="D17" s="13" t="s">
        <v>83</v>
      </c>
      <c r="E17" s="13" t="s">
        <v>61</v>
      </c>
    </row>
    <row r="18" spans="1:5" s="1" customFormat="1" ht="18.95" customHeight="1" x14ac:dyDescent="0.25">
      <c r="A18" s="12">
        <v>17</v>
      </c>
      <c r="B18" s="12">
        <v>4</v>
      </c>
      <c r="C18" s="12" t="str">
        <f>B18&amp;"."&amp;A3</f>
        <v>4.2</v>
      </c>
      <c r="D18" s="13" t="s">
        <v>83</v>
      </c>
      <c r="E18" s="13" t="s">
        <v>62</v>
      </c>
    </row>
    <row r="19" spans="1:5" s="1" customFormat="1" ht="18.95" customHeight="1" x14ac:dyDescent="0.25">
      <c r="A19" s="12">
        <v>18</v>
      </c>
      <c r="B19" s="12">
        <v>4</v>
      </c>
      <c r="C19" s="12" t="str">
        <f>B19&amp;"."&amp;A4</f>
        <v>4.3</v>
      </c>
      <c r="D19" s="13" t="s">
        <v>83</v>
      </c>
      <c r="E19" s="13" t="s">
        <v>63</v>
      </c>
    </row>
    <row r="20" spans="1:5" s="1" customFormat="1" ht="18.95" customHeight="1" x14ac:dyDescent="0.25">
      <c r="A20" s="12">
        <v>19</v>
      </c>
      <c r="B20" s="12">
        <v>4</v>
      </c>
      <c r="C20" s="12" t="str">
        <f>B20&amp;"."&amp;A5</f>
        <v>4.4</v>
      </c>
      <c r="D20" s="13" t="s">
        <v>83</v>
      </c>
      <c r="E20" s="13" t="s">
        <v>64</v>
      </c>
    </row>
    <row r="21" spans="1:5" s="1" customFormat="1" ht="18.95" customHeight="1" x14ac:dyDescent="0.25">
      <c r="A21" s="12">
        <v>20</v>
      </c>
      <c r="B21" s="12">
        <v>4</v>
      </c>
      <c r="C21" s="12" t="str">
        <f>B21&amp;"."&amp;A6</f>
        <v>4.5</v>
      </c>
      <c r="D21" s="13" t="s">
        <v>83</v>
      </c>
      <c r="E21" s="13" t="s">
        <v>65</v>
      </c>
    </row>
    <row r="22" spans="1:5" s="1" customFormat="1" ht="18.95" customHeight="1" x14ac:dyDescent="0.25">
      <c r="A22" s="12">
        <v>21</v>
      </c>
      <c r="B22" s="12">
        <v>5</v>
      </c>
      <c r="C22" s="12" t="str">
        <f>B22&amp;"."&amp;A2</f>
        <v>5.1</v>
      </c>
      <c r="D22" s="13" t="s">
        <v>84</v>
      </c>
      <c r="E22" s="13" t="s">
        <v>66</v>
      </c>
    </row>
    <row r="23" spans="1:5" s="1" customFormat="1" ht="18.95" customHeight="1" x14ac:dyDescent="0.25">
      <c r="A23" s="12">
        <v>22</v>
      </c>
      <c r="B23" s="12">
        <v>5</v>
      </c>
      <c r="C23" s="12" t="str">
        <f>B23&amp;"."&amp;A3</f>
        <v>5.2</v>
      </c>
      <c r="D23" s="13" t="s">
        <v>84</v>
      </c>
      <c r="E23" s="13" t="s">
        <v>67</v>
      </c>
    </row>
    <row r="24" spans="1:5" s="1" customFormat="1" ht="18.95" customHeight="1" x14ac:dyDescent="0.25">
      <c r="A24" s="12">
        <v>23</v>
      </c>
      <c r="B24" s="12">
        <v>5</v>
      </c>
      <c r="C24" s="12" t="str">
        <f>B24&amp;"."&amp;A4</f>
        <v>5.3</v>
      </c>
      <c r="D24" s="13" t="s">
        <v>84</v>
      </c>
      <c r="E24" s="13" t="s">
        <v>68</v>
      </c>
    </row>
    <row r="25" spans="1:5" s="1" customFormat="1" ht="18.95" customHeight="1" x14ac:dyDescent="0.25">
      <c r="A25" s="12">
        <v>24</v>
      </c>
      <c r="B25" s="12">
        <v>5</v>
      </c>
      <c r="C25" s="12" t="str">
        <f>B25&amp;"."&amp;A5</f>
        <v>5.4</v>
      </c>
      <c r="D25" s="13" t="s">
        <v>84</v>
      </c>
      <c r="E25" s="13" t="s">
        <v>69</v>
      </c>
    </row>
    <row r="26" spans="1:5" s="1" customFormat="1" ht="18.95" customHeight="1" x14ac:dyDescent="0.25">
      <c r="A26" s="12">
        <v>25</v>
      </c>
      <c r="B26" s="12">
        <v>5</v>
      </c>
      <c r="C26" s="12" t="str">
        <f>B26&amp;"."&amp;A6</f>
        <v>5.5</v>
      </c>
      <c r="D26" s="13" t="s">
        <v>84</v>
      </c>
      <c r="E26" s="13" t="s">
        <v>70</v>
      </c>
    </row>
    <row r="27" spans="1:5" s="1" customFormat="1" ht="18.95" customHeight="1" x14ac:dyDescent="0.25">
      <c r="A27" s="12">
        <v>26</v>
      </c>
      <c r="B27" s="12">
        <v>6</v>
      </c>
      <c r="C27" s="12" t="str">
        <f>B27&amp;"."&amp;A2</f>
        <v>6.1</v>
      </c>
      <c r="D27" s="13" t="s">
        <v>85</v>
      </c>
      <c r="E27" s="13" t="s">
        <v>71</v>
      </c>
    </row>
    <row r="28" spans="1:5" s="1" customFormat="1" ht="18.95" customHeight="1" x14ac:dyDescent="0.25">
      <c r="A28" s="12">
        <v>27</v>
      </c>
      <c r="B28" s="12">
        <v>6</v>
      </c>
      <c r="C28" s="12" t="str">
        <f>B28&amp;"."&amp;A3</f>
        <v>6.2</v>
      </c>
      <c r="D28" s="13" t="s">
        <v>85</v>
      </c>
      <c r="E28" s="13" t="s">
        <v>72</v>
      </c>
    </row>
    <row r="29" spans="1:5" s="1" customFormat="1" ht="18.95" customHeight="1" x14ac:dyDescent="0.25">
      <c r="A29" s="12">
        <v>28</v>
      </c>
      <c r="B29" s="12">
        <v>6</v>
      </c>
      <c r="C29" s="12" t="str">
        <f>B29&amp;"."&amp;A4</f>
        <v>6.3</v>
      </c>
      <c r="D29" s="13" t="s">
        <v>85</v>
      </c>
      <c r="E29" s="13" t="s">
        <v>73</v>
      </c>
    </row>
    <row r="30" spans="1:5" s="1" customFormat="1" ht="18.95" customHeight="1" x14ac:dyDescent="0.25">
      <c r="A30" s="12">
        <v>29</v>
      </c>
      <c r="B30" s="12">
        <v>6</v>
      </c>
      <c r="C30" s="12" t="str">
        <f>B30&amp;"."&amp;A5</f>
        <v>6.4</v>
      </c>
      <c r="D30" s="13" t="s">
        <v>85</v>
      </c>
      <c r="E30" s="13" t="s">
        <v>74</v>
      </c>
    </row>
    <row r="31" spans="1:5" s="1" customFormat="1" ht="18.95" customHeight="1" x14ac:dyDescent="0.25">
      <c r="A31" s="12">
        <v>30</v>
      </c>
      <c r="B31" s="12">
        <v>6</v>
      </c>
      <c r="C31" s="12" t="str">
        <f>B31&amp;"."&amp;A6</f>
        <v>6.5</v>
      </c>
      <c r="D31" s="13" t="s">
        <v>85</v>
      </c>
      <c r="E31" s="13" t="s">
        <v>75</v>
      </c>
    </row>
    <row r="32" spans="1:5" s="1" customFormat="1" ht="18.95" customHeight="1" x14ac:dyDescent="0.25">
      <c r="A32" s="12">
        <v>31</v>
      </c>
      <c r="B32" s="12">
        <v>7</v>
      </c>
      <c r="C32" s="12" t="str">
        <f>B32&amp;"."&amp;A2</f>
        <v>7.1</v>
      </c>
      <c r="D32" s="13" t="s">
        <v>86</v>
      </c>
      <c r="E32" s="13" t="s">
        <v>76</v>
      </c>
    </row>
    <row r="33" spans="1:5" s="1" customFormat="1" ht="18.95" customHeight="1" x14ac:dyDescent="0.25">
      <c r="A33" s="12">
        <v>32</v>
      </c>
      <c r="B33" s="12">
        <v>7</v>
      </c>
      <c r="C33" s="12" t="str">
        <f>B33&amp;"."&amp;A3</f>
        <v>7.2</v>
      </c>
      <c r="D33" s="13" t="s">
        <v>86</v>
      </c>
      <c r="E33" s="13" t="s">
        <v>77</v>
      </c>
    </row>
    <row r="34" spans="1:5" s="1" customFormat="1" ht="18.95" customHeight="1" x14ac:dyDescent="0.25">
      <c r="A34" s="12">
        <v>33</v>
      </c>
      <c r="B34" s="12">
        <v>7</v>
      </c>
      <c r="C34" s="12" t="str">
        <f>B34&amp;"."&amp;A4</f>
        <v>7.3</v>
      </c>
      <c r="D34" s="13" t="s">
        <v>86</v>
      </c>
      <c r="E34" s="13" t="s">
        <v>78</v>
      </c>
    </row>
    <row r="35" spans="1:5" s="1" customFormat="1" ht="18.95" customHeight="1" x14ac:dyDescent="0.25">
      <c r="A35" s="12">
        <v>34</v>
      </c>
      <c r="B35" s="12">
        <v>7</v>
      </c>
      <c r="C35" s="12" t="str">
        <f>B35&amp;"."&amp;A5</f>
        <v>7.4</v>
      </c>
      <c r="D35" s="13" t="s">
        <v>86</v>
      </c>
      <c r="E35" s="13" t="s">
        <v>79</v>
      </c>
    </row>
    <row r="36" spans="1:5" s="1" customFormat="1" ht="18.95" customHeight="1" x14ac:dyDescent="0.25">
      <c r="A36" s="12">
        <v>35</v>
      </c>
      <c r="B36" s="12">
        <v>7</v>
      </c>
      <c r="C36" s="12" t="str">
        <f>B36&amp;"."&amp;A6</f>
        <v>7.5</v>
      </c>
      <c r="D36" s="13" t="s">
        <v>86</v>
      </c>
      <c r="E36" s="13" t="s">
        <v>80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&amp;C_x000D_&amp;1#&amp;"Calibri"&amp;10&amp;K000000 Ostensivo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7D6D1-FD54-45D7-9B9A-E185470CC7E7}">
  <dimension ref="A1:C12"/>
  <sheetViews>
    <sheetView zoomScaleNormal="100" workbookViewId="0">
      <selection activeCell="C11" sqref="C11"/>
    </sheetView>
  </sheetViews>
  <sheetFormatPr defaultRowHeight="15" x14ac:dyDescent="0.25"/>
  <cols>
    <col min="1" max="1" width="8.85546875" style="2" bestFit="1" customWidth="1"/>
    <col min="2" max="2" width="31.85546875" bestFit="1" customWidth="1"/>
    <col min="3" max="3" width="26.42578125" style="48" customWidth="1"/>
  </cols>
  <sheetData>
    <row r="1" spans="1:3" ht="15.75" thickBot="1" x14ac:dyDescent="0.3">
      <c r="A1" s="11" t="s">
        <v>205</v>
      </c>
      <c r="B1" s="11" t="s">
        <v>204</v>
      </c>
      <c r="C1" s="10" t="s">
        <v>206</v>
      </c>
    </row>
    <row r="2" spans="1:3" ht="30" x14ac:dyDescent="0.25">
      <c r="A2" s="42">
        <v>1</v>
      </c>
      <c r="B2" s="42" t="s">
        <v>184</v>
      </c>
      <c r="C2" s="5" t="s">
        <v>185</v>
      </c>
    </row>
    <row r="3" spans="1:3" ht="30" x14ac:dyDescent="0.25">
      <c r="A3" s="42">
        <v>2</v>
      </c>
      <c r="B3" s="42" t="s">
        <v>186</v>
      </c>
      <c r="C3" s="5" t="s">
        <v>187</v>
      </c>
    </row>
    <row r="4" spans="1:3" ht="30" x14ac:dyDescent="0.25">
      <c r="A4" s="42">
        <v>3</v>
      </c>
      <c r="B4" s="42" t="s">
        <v>188</v>
      </c>
      <c r="C4" s="5" t="s">
        <v>189</v>
      </c>
    </row>
    <row r="5" spans="1:3" ht="30" x14ac:dyDescent="0.25">
      <c r="A5" s="42">
        <v>4</v>
      </c>
      <c r="B5" s="42" t="s">
        <v>190</v>
      </c>
      <c r="C5" s="5" t="s">
        <v>191</v>
      </c>
    </row>
    <row r="6" spans="1:3" ht="30" x14ac:dyDescent="0.25">
      <c r="A6" s="42">
        <v>5</v>
      </c>
      <c r="B6" s="42" t="s">
        <v>192</v>
      </c>
      <c r="C6" s="5" t="s">
        <v>193</v>
      </c>
    </row>
    <row r="7" spans="1:3" ht="30" x14ac:dyDescent="0.25">
      <c r="A7" s="42">
        <v>6</v>
      </c>
      <c r="B7" s="42" t="s">
        <v>194</v>
      </c>
      <c r="C7" s="5" t="s">
        <v>195</v>
      </c>
    </row>
    <row r="8" spans="1:3" ht="30" x14ac:dyDescent="0.25">
      <c r="A8" s="42">
        <v>7</v>
      </c>
      <c r="B8" s="42" t="s">
        <v>196</v>
      </c>
      <c r="C8" s="5" t="s">
        <v>197</v>
      </c>
    </row>
    <row r="9" spans="1:3" ht="30" x14ac:dyDescent="0.25">
      <c r="A9" s="42">
        <v>8</v>
      </c>
      <c r="B9" s="42" t="s">
        <v>198</v>
      </c>
      <c r="C9" s="5" t="s">
        <v>199</v>
      </c>
    </row>
    <row r="10" spans="1:3" ht="30" x14ac:dyDescent="0.25">
      <c r="A10" s="42">
        <v>9</v>
      </c>
      <c r="B10" s="42" t="s">
        <v>200</v>
      </c>
      <c r="C10" s="5" t="s">
        <v>201</v>
      </c>
    </row>
    <row r="11" spans="1:3" ht="30" x14ac:dyDescent="0.25">
      <c r="A11" s="42">
        <v>10</v>
      </c>
      <c r="B11" s="42" t="s">
        <v>202</v>
      </c>
      <c r="C11" s="5" t="s">
        <v>203</v>
      </c>
    </row>
    <row r="12" spans="1:3" x14ac:dyDescent="0.25">
      <c r="B12" s="2"/>
      <c r="C12" s="5"/>
    </row>
  </sheetData>
  <pageMargins left="0.511811024" right="0.511811024" top="0.78740157499999996" bottom="0.78740157499999996" header="0.31496062000000002" footer="0.31496062000000002"/>
  <headerFooter>
    <oddFooter>&amp;C_x000D_&amp;1#&amp;"Calibri"&amp;10&amp;K000000 Ostensivo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7B4B0-F90E-4662-94AF-579A85BF80D9}">
  <dimension ref="A1:C11"/>
  <sheetViews>
    <sheetView workbookViewId="0">
      <selection sqref="A1:C1"/>
    </sheetView>
  </sheetViews>
  <sheetFormatPr defaultRowHeight="15" x14ac:dyDescent="0.25"/>
  <cols>
    <col min="1" max="1" width="7.7109375" style="5" bestFit="1" customWidth="1"/>
    <col min="2" max="2" width="39.85546875" style="3" bestFit="1" customWidth="1"/>
    <col min="3" max="3" width="46.85546875" style="3" customWidth="1"/>
    <col min="4" max="16384" width="9.140625" style="3"/>
  </cols>
  <sheetData>
    <row r="1" spans="1:3" ht="15.75" thickBot="1" x14ac:dyDescent="0.3">
      <c r="A1" s="11" t="s">
        <v>205</v>
      </c>
      <c r="B1" s="11" t="s">
        <v>182</v>
      </c>
      <c r="C1" s="10" t="s">
        <v>206</v>
      </c>
    </row>
    <row r="2" spans="1:3" ht="45" x14ac:dyDescent="0.25">
      <c r="A2" s="4">
        <v>1</v>
      </c>
      <c r="B2" s="42" t="s">
        <v>207</v>
      </c>
      <c r="C2" s="4" t="s">
        <v>208</v>
      </c>
    </row>
    <row r="3" spans="1:3" ht="45" x14ac:dyDescent="0.25">
      <c r="A3" s="4">
        <v>2</v>
      </c>
      <c r="B3" s="42" t="s">
        <v>209</v>
      </c>
      <c r="C3" s="4" t="s">
        <v>210</v>
      </c>
    </row>
    <row r="4" spans="1:3" ht="45" x14ac:dyDescent="0.25">
      <c r="A4" s="4">
        <v>3</v>
      </c>
      <c r="B4" s="42" t="s">
        <v>211</v>
      </c>
      <c r="C4" s="4" t="s">
        <v>212</v>
      </c>
    </row>
    <row r="5" spans="1:3" ht="45" x14ac:dyDescent="0.25">
      <c r="A5" s="4">
        <v>4</v>
      </c>
      <c r="B5" s="42" t="s">
        <v>213</v>
      </c>
      <c r="C5" s="4" t="s">
        <v>214</v>
      </c>
    </row>
    <row r="6" spans="1:3" ht="45" x14ac:dyDescent="0.25">
      <c r="A6" s="4">
        <v>5</v>
      </c>
      <c r="B6" s="42" t="s">
        <v>215</v>
      </c>
      <c r="C6" s="4" t="s">
        <v>216</v>
      </c>
    </row>
    <row r="7" spans="1:3" ht="45" x14ac:dyDescent="0.25">
      <c r="A7" s="4">
        <v>6</v>
      </c>
      <c r="B7" s="42" t="s">
        <v>217</v>
      </c>
      <c r="C7" s="4" t="s">
        <v>218</v>
      </c>
    </row>
    <row r="8" spans="1:3" ht="30" x14ac:dyDescent="0.25">
      <c r="A8" s="4">
        <v>7</v>
      </c>
      <c r="B8" s="42" t="s">
        <v>219</v>
      </c>
      <c r="C8" s="4" t="s">
        <v>220</v>
      </c>
    </row>
    <row r="9" spans="1:3" ht="45" x14ac:dyDescent="0.25">
      <c r="A9" s="4">
        <v>8</v>
      </c>
      <c r="B9" s="42" t="s">
        <v>221</v>
      </c>
      <c r="C9" s="4" t="s">
        <v>222</v>
      </c>
    </row>
    <row r="10" spans="1:3" ht="45" x14ac:dyDescent="0.25">
      <c r="A10" s="4">
        <v>9</v>
      </c>
      <c r="B10" s="42" t="s">
        <v>223</v>
      </c>
      <c r="C10" s="4" t="s">
        <v>224</v>
      </c>
    </row>
    <row r="11" spans="1:3" ht="45" x14ac:dyDescent="0.25">
      <c r="A11" s="4">
        <v>10</v>
      </c>
      <c r="B11" s="42" t="s">
        <v>225</v>
      </c>
      <c r="C11" s="4" t="s">
        <v>226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&amp;C_x000D_&amp;1#&amp;"Calibri"&amp;10&amp;K000000 Ostensivo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7AA7B-F31C-4CF8-86C4-AFCC348E7DE8}">
  <dimension ref="A1:C11"/>
  <sheetViews>
    <sheetView workbookViewId="0">
      <selection activeCell="C3" sqref="C3"/>
    </sheetView>
  </sheetViews>
  <sheetFormatPr defaultRowHeight="15" x14ac:dyDescent="0.25"/>
  <cols>
    <col min="1" max="1" width="7.7109375" style="5" bestFit="1" customWidth="1"/>
    <col min="2" max="2" width="37.85546875" style="5" customWidth="1"/>
    <col min="3" max="3" width="50.28515625" style="5" customWidth="1"/>
    <col min="4" max="16384" width="9.140625" style="3"/>
  </cols>
  <sheetData>
    <row r="1" spans="1:3" ht="15.75" thickBot="1" x14ac:dyDescent="0.3">
      <c r="A1" s="11" t="s">
        <v>205</v>
      </c>
      <c r="B1" s="11" t="s">
        <v>182</v>
      </c>
      <c r="C1" s="10" t="s">
        <v>206</v>
      </c>
    </row>
    <row r="2" spans="1:3" ht="45" x14ac:dyDescent="0.25">
      <c r="A2" s="4">
        <v>1</v>
      </c>
      <c r="B2" s="4" t="s">
        <v>227</v>
      </c>
      <c r="C2" s="4" t="s">
        <v>232</v>
      </c>
    </row>
    <row r="3" spans="1:3" ht="45" x14ac:dyDescent="0.25">
      <c r="A3" s="4">
        <v>2</v>
      </c>
      <c r="B3" s="4" t="s">
        <v>219</v>
      </c>
      <c r="C3" s="4" t="s">
        <v>233</v>
      </c>
    </row>
    <row r="4" spans="1:3" ht="45" x14ac:dyDescent="0.25">
      <c r="A4" s="4">
        <v>3</v>
      </c>
      <c r="B4" s="4" t="s">
        <v>217</v>
      </c>
      <c r="C4" s="4" t="s">
        <v>234</v>
      </c>
    </row>
    <row r="5" spans="1:3" ht="45" x14ac:dyDescent="0.25">
      <c r="A5" s="4">
        <v>4</v>
      </c>
      <c r="B5" s="4" t="s">
        <v>228</v>
      </c>
      <c r="C5" s="4" t="s">
        <v>235</v>
      </c>
    </row>
    <row r="6" spans="1:3" ht="30" x14ac:dyDescent="0.25">
      <c r="A6" s="4">
        <v>5</v>
      </c>
      <c r="B6" s="4" t="s">
        <v>215</v>
      </c>
      <c r="C6" s="4" t="s">
        <v>236</v>
      </c>
    </row>
    <row r="7" spans="1:3" ht="45" x14ac:dyDescent="0.25">
      <c r="A7" s="4">
        <v>6</v>
      </c>
      <c r="B7" s="4" t="s">
        <v>213</v>
      </c>
      <c r="C7" s="4" t="s">
        <v>237</v>
      </c>
    </row>
    <row r="8" spans="1:3" ht="45" x14ac:dyDescent="0.25">
      <c r="A8" s="4">
        <v>7</v>
      </c>
      <c r="B8" s="4" t="s">
        <v>211</v>
      </c>
      <c r="C8" s="4" t="s">
        <v>238</v>
      </c>
    </row>
    <row r="9" spans="1:3" ht="45" x14ac:dyDescent="0.25">
      <c r="A9" s="4">
        <v>8</v>
      </c>
      <c r="B9" s="4" t="s">
        <v>229</v>
      </c>
      <c r="C9" s="4" t="s">
        <v>239</v>
      </c>
    </row>
    <row r="10" spans="1:3" ht="45" x14ac:dyDescent="0.25">
      <c r="A10" s="4">
        <v>9</v>
      </c>
      <c r="B10" s="4" t="s">
        <v>230</v>
      </c>
      <c r="C10" s="4" t="s">
        <v>240</v>
      </c>
    </row>
    <row r="11" spans="1:3" ht="60" x14ac:dyDescent="0.25">
      <c r="A11" s="4">
        <v>10</v>
      </c>
      <c r="B11" s="4" t="s">
        <v>231</v>
      </c>
      <c r="C11" s="4" t="s">
        <v>241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&amp;C_x000D_&amp;1#&amp;"Calibri"&amp;10&amp;K000000 Ostensivo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CAA27-E387-418A-8173-4926FC07A992}">
  <dimension ref="A1:L38"/>
  <sheetViews>
    <sheetView workbookViewId="0">
      <selection activeCell="C14" sqref="C14"/>
    </sheetView>
  </sheetViews>
  <sheetFormatPr defaultRowHeight="15" x14ac:dyDescent="0.25"/>
  <cols>
    <col min="1" max="1" width="6.5703125" bestFit="1" customWidth="1"/>
    <col min="2" max="2" width="32.7109375" customWidth="1"/>
    <col min="3" max="3" width="86" customWidth="1"/>
    <col min="4" max="4" width="10.85546875" customWidth="1"/>
    <col min="5" max="5" width="9.140625" customWidth="1"/>
    <col min="6" max="6" width="10.5703125" customWidth="1"/>
    <col min="7" max="7" width="10.85546875" customWidth="1"/>
    <col min="8" max="8" width="9.140625" customWidth="1"/>
    <col min="9" max="9" width="10.5703125" customWidth="1"/>
    <col min="10" max="10" width="10.85546875" bestFit="1" customWidth="1"/>
    <col min="12" max="12" width="10.5703125" bestFit="1" customWidth="1"/>
  </cols>
  <sheetData>
    <row r="1" spans="1:12" x14ac:dyDescent="0.25">
      <c r="D1" s="44" t="s">
        <v>178</v>
      </c>
      <c r="E1" s="44"/>
      <c r="F1" s="44"/>
      <c r="G1" s="45" t="s">
        <v>179</v>
      </c>
      <c r="H1" s="45"/>
      <c r="I1" s="45"/>
      <c r="J1" s="45" t="s">
        <v>180</v>
      </c>
      <c r="K1" s="45"/>
      <c r="L1" s="45"/>
    </row>
    <row r="2" spans="1:12" ht="15.75" thickBot="1" x14ac:dyDescent="0.3">
      <c r="A2" s="9" t="s">
        <v>89</v>
      </c>
      <c r="B2" s="9" t="s">
        <v>87</v>
      </c>
      <c r="C2" s="9" t="s">
        <v>88</v>
      </c>
      <c r="D2" s="14" t="s">
        <v>1</v>
      </c>
      <c r="E2" s="14" t="s">
        <v>2</v>
      </c>
      <c r="F2" s="14" t="s">
        <v>3</v>
      </c>
      <c r="G2" s="14" t="s">
        <v>1</v>
      </c>
      <c r="H2" s="14" t="s">
        <v>2</v>
      </c>
      <c r="I2" s="14" t="s">
        <v>3</v>
      </c>
      <c r="J2" s="14" t="s">
        <v>1</v>
      </c>
      <c r="K2" s="14" t="s">
        <v>2</v>
      </c>
      <c r="L2" s="14" t="s">
        <v>3</v>
      </c>
    </row>
    <row r="3" spans="1:12" ht="15.75" x14ac:dyDescent="0.25">
      <c r="A3" s="12">
        <v>1</v>
      </c>
      <c r="B3" s="13" t="s">
        <v>45</v>
      </c>
      <c r="C3" s="13" t="s">
        <v>46</v>
      </c>
      <c r="D3" s="1">
        <v>8</v>
      </c>
      <c r="E3" s="1">
        <v>7</v>
      </c>
      <c r="F3" s="1">
        <v>8</v>
      </c>
      <c r="G3" s="1">
        <v>7</v>
      </c>
      <c r="H3" s="1">
        <v>7</v>
      </c>
      <c r="I3" s="1">
        <v>8</v>
      </c>
      <c r="J3">
        <v>8</v>
      </c>
      <c r="K3">
        <v>4</v>
      </c>
      <c r="L3">
        <v>8</v>
      </c>
    </row>
    <row r="4" spans="1:12" ht="15.75" x14ac:dyDescent="0.25">
      <c r="A4" s="12">
        <v>2</v>
      </c>
      <c r="B4" s="13" t="s">
        <v>45</v>
      </c>
      <c r="C4" s="13" t="s">
        <v>47</v>
      </c>
      <c r="D4" s="1">
        <v>10</v>
      </c>
      <c r="E4" s="1">
        <v>3</v>
      </c>
      <c r="F4" s="1">
        <v>7</v>
      </c>
      <c r="G4" s="1">
        <v>10</v>
      </c>
      <c r="H4" s="1">
        <v>4</v>
      </c>
      <c r="I4" s="1">
        <v>9</v>
      </c>
      <c r="J4">
        <v>8</v>
      </c>
      <c r="K4">
        <v>5</v>
      </c>
      <c r="L4">
        <v>6</v>
      </c>
    </row>
    <row r="5" spans="1:12" ht="15.75" x14ac:dyDescent="0.25">
      <c r="A5" s="12">
        <v>3</v>
      </c>
      <c r="B5" s="13" t="s">
        <v>45</v>
      </c>
      <c r="C5" s="13" t="s">
        <v>48</v>
      </c>
      <c r="D5" s="1">
        <v>10</v>
      </c>
      <c r="E5" s="1">
        <v>5</v>
      </c>
      <c r="F5" s="1">
        <v>8</v>
      </c>
      <c r="G5" s="1">
        <v>8</v>
      </c>
      <c r="H5" s="1">
        <v>6</v>
      </c>
      <c r="I5" s="1">
        <v>5</v>
      </c>
      <c r="J5">
        <v>8</v>
      </c>
      <c r="K5">
        <v>6</v>
      </c>
      <c r="L5">
        <v>4</v>
      </c>
    </row>
    <row r="6" spans="1:12" ht="15.75" x14ac:dyDescent="0.25">
      <c r="A6" s="12">
        <v>4</v>
      </c>
      <c r="B6" s="13" t="s">
        <v>45</v>
      </c>
      <c r="C6" s="13" t="s">
        <v>49</v>
      </c>
      <c r="D6" s="1">
        <v>10</v>
      </c>
      <c r="E6" s="1">
        <v>8</v>
      </c>
      <c r="F6" s="1">
        <v>10</v>
      </c>
      <c r="G6" s="1">
        <v>8</v>
      </c>
      <c r="H6" s="1">
        <v>5</v>
      </c>
      <c r="I6" s="1">
        <v>8</v>
      </c>
      <c r="J6">
        <v>7</v>
      </c>
      <c r="K6">
        <v>5</v>
      </c>
      <c r="L6">
        <v>9</v>
      </c>
    </row>
    <row r="7" spans="1:12" ht="15.75" x14ac:dyDescent="0.25">
      <c r="A7" s="12">
        <v>5</v>
      </c>
      <c r="B7" s="13" t="s">
        <v>45</v>
      </c>
      <c r="C7" s="13" t="s">
        <v>50</v>
      </c>
      <c r="D7" s="1">
        <v>10</v>
      </c>
      <c r="E7" s="1">
        <v>10</v>
      </c>
      <c r="F7" s="1">
        <v>10</v>
      </c>
      <c r="G7" s="1">
        <v>3</v>
      </c>
      <c r="H7" s="1">
        <v>5</v>
      </c>
      <c r="I7" s="1">
        <v>5</v>
      </c>
      <c r="J7">
        <v>9</v>
      </c>
      <c r="K7">
        <v>3</v>
      </c>
      <c r="L7">
        <v>8</v>
      </c>
    </row>
    <row r="8" spans="1:12" ht="15.75" x14ac:dyDescent="0.25">
      <c r="A8" s="12">
        <v>6</v>
      </c>
      <c r="B8" s="13" t="s">
        <v>81</v>
      </c>
      <c r="C8" s="13" t="s">
        <v>51</v>
      </c>
      <c r="D8" s="1">
        <v>10</v>
      </c>
      <c r="E8" s="1">
        <v>5</v>
      </c>
      <c r="F8" s="1">
        <v>10</v>
      </c>
      <c r="G8" s="1">
        <v>8</v>
      </c>
      <c r="H8" s="1">
        <v>4</v>
      </c>
      <c r="I8" s="1">
        <v>8</v>
      </c>
      <c r="J8">
        <v>7</v>
      </c>
      <c r="K8">
        <v>5</v>
      </c>
      <c r="L8">
        <v>6</v>
      </c>
    </row>
    <row r="9" spans="1:12" ht="15.75" x14ac:dyDescent="0.25">
      <c r="A9" s="12">
        <v>7</v>
      </c>
      <c r="B9" s="13" t="s">
        <v>81</v>
      </c>
      <c r="C9" s="13" t="s">
        <v>52</v>
      </c>
      <c r="D9" s="1">
        <v>10</v>
      </c>
      <c r="E9" s="1">
        <v>5</v>
      </c>
      <c r="F9" s="1">
        <v>7</v>
      </c>
      <c r="G9" s="1">
        <v>9</v>
      </c>
      <c r="H9" s="1">
        <v>4</v>
      </c>
      <c r="I9" s="1">
        <v>8</v>
      </c>
      <c r="J9">
        <v>4</v>
      </c>
      <c r="K9">
        <v>6</v>
      </c>
      <c r="L9">
        <v>2</v>
      </c>
    </row>
    <row r="10" spans="1:12" ht="15.75" x14ac:dyDescent="0.25">
      <c r="A10" s="12">
        <v>8</v>
      </c>
      <c r="B10" s="13" t="s">
        <v>81</v>
      </c>
      <c r="C10" s="13" t="s">
        <v>53</v>
      </c>
      <c r="D10" s="1">
        <v>7</v>
      </c>
      <c r="E10" s="1">
        <v>8</v>
      </c>
      <c r="F10" s="1">
        <v>6</v>
      </c>
      <c r="G10" s="1">
        <v>5</v>
      </c>
      <c r="H10" s="1">
        <v>3</v>
      </c>
      <c r="I10" s="1">
        <v>6</v>
      </c>
      <c r="J10">
        <v>8</v>
      </c>
      <c r="K10">
        <v>4</v>
      </c>
      <c r="L10">
        <v>9</v>
      </c>
    </row>
    <row r="11" spans="1:12" ht="15.75" x14ac:dyDescent="0.25">
      <c r="A11" s="12">
        <v>9</v>
      </c>
      <c r="B11" s="13" t="s">
        <v>81</v>
      </c>
      <c r="C11" s="13" t="s">
        <v>54</v>
      </c>
      <c r="D11" s="1">
        <v>10</v>
      </c>
      <c r="E11" s="1">
        <v>1</v>
      </c>
      <c r="F11" s="1">
        <v>4</v>
      </c>
      <c r="G11" s="1">
        <v>9</v>
      </c>
      <c r="H11" s="1">
        <v>1</v>
      </c>
      <c r="I11" s="1">
        <v>6</v>
      </c>
      <c r="J11">
        <v>9</v>
      </c>
      <c r="K11">
        <v>6</v>
      </c>
      <c r="L11">
        <v>7</v>
      </c>
    </row>
    <row r="12" spans="1:12" ht="15.75" x14ac:dyDescent="0.25">
      <c r="A12" s="12">
        <v>10</v>
      </c>
      <c r="B12" s="13" t="s">
        <v>81</v>
      </c>
      <c r="C12" s="13" t="s">
        <v>55</v>
      </c>
      <c r="D12" s="1">
        <v>7</v>
      </c>
      <c r="E12" s="1">
        <v>5</v>
      </c>
      <c r="F12" s="1">
        <v>7</v>
      </c>
      <c r="G12" s="1">
        <v>6</v>
      </c>
      <c r="H12" s="1">
        <v>6</v>
      </c>
      <c r="I12" s="1">
        <v>5</v>
      </c>
      <c r="J12">
        <v>8</v>
      </c>
      <c r="K12">
        <v>2</v>
      </c>
      <c r="L12">
        <v>7</v>
      </c>
    </row>
    <row r="13" spans="1:12" ht="15.75" x14ac:dyDescent="0.25">
      <c r="A13" s="12">
        <v>11</v>
      </c>
      <c r="B13" s="13" t="s">
        <v>82</v>
      </c>
      <c r="C13" s="13" t="s">
        <v>56</v>
      </c>
      <c r="D13" s="1">
        <v>5</v>
      </c>
      <c r="E13" s="1">
        <v>6</v>
      </c>
      <c r="F13" s="1">
        <v>7</v>
      </c>
      <c r="G13" s="1">
        <v>4</v>
      </c>
      <c r="H13" s="1">
        <v>6</v>
      </c>
      <c r="I13" s="1">
        <v>6</v>
      </c>
      <c r="J13">
        <v>9</v>
      </c>
      <c r="K13">
        <v>3</v>
      </c>
      <c r="L13">
        <v>6</v>
      </c>
    </row>
    <row r="14" spans="1:12" ht="15.75" x14ac:dyDescent="0.25">
      <c r="A14" s="12">
        <v>12</v>
      </c>
      <c r="B14" s="13" t="s">
        <v>82</v>
      </c>
      <c r="C14" s="13" t="s">
        <v>57</v>
      </c>
      <c r="D14" s="1">
        <v>5</v>
      </c>
      <c r="E14" s="1">
        <v>7</v>
      </c>
      <c r="F14" s="1">
        <v>6</v>
      </c>
      <c r="G14" s="1">
        <v>3</v>
      </c>
      <c r="H14" s="1">
        <v>5</v>
      </c>
      <c r="I14" s="1">
        <v>6</v>
      </c>
      <c r="J14">
        <v>9</v>
      </c>
      <c r="K14">
        <v>6</v>
      </c>
      <c r="L14">
        <v>7</v>
      </c>
    </row>
    <row r="15" spans="1:12" ht="15.75" x14ac:dyDescent="0.25">
      <c r="A15" s="12">
        <v>13</v>
      </c>
      <c r="B15" s="13" t="s">
        <v>82</v>
      </c>
      <c r="C15" s="13" t="s">
        <v>58</v>
      </c>
      <c r="D15" s="1">
        <v>8</v>
      </c>
      <c r="E15" s="1">
        <v>5</v>
      </c>
      <c r="F15" s="1">
        <v>7</v>
      </c>
      <c r="G15" s="1">
        <v>9</v>
      </c>
      <c r="H15" s="1">
        <v>4</v>
      </c>
      <c r="I15" s="1">
        <v>8</v>
      </c>
      <c r="J15">
        <v>9</v>
      </c>
      <c r="K15">
        <v>4</v>
      </c>
      <c r="L15">
        <v>7</v>
      </c>
    </row>
    <row r="16" spans="1:12" ht="15.75" x14ac:dyDescent="0.25">
      <c r="A16" s="12">
        <v>14</v>
      </c>
      <c r="B16" s="13" t="s">
        <v>82</v>
      </c>
      <c r="C16" s="13" t="s">
        <v>59</v>
      </c>
      <c r="D16" s="1">
        <v>8</v>
      </c>
      <c r="E16" s="1">
        <v>1</v>
      </c>
      <c r="F16" s="1">
        <v>9</v>
      </c>
      <c r="G16" s="1">
        <v>5</v>
      </c>
      <c r="H16" s="1">
        <v>2</v>
      </c>
      <c r="I16" s="1">
        <v>8</v>
      </c>
      <c r="J16">
        <v>9</v>
      </c>
      <c r="K16">
        <v>4</v>
      </c>
      <c r="L16">
        <v>6</v>
      </c>
    </row>
    <row r="17" spans="1:12" ht="15.75" x14ac:dyDescent="0.25">
      <c r="A17" s="12">
        <v>15</v>
      </c>
      <c r="B17" s="13" t="s">
        <v>82</v>
      </c>
      <c r="C17" s="13" t="s">
        <v>60</v>
      </c>
      <c r="D17" s="1">
        <v>8</v>
      </c>
      <c r="E17" s="1">
        <v>1</v>
      </c>
      <c r="F17" s="1">
        <v>8</v>
      </c>
      <c r="G17" s="1">
        <v>6</v>
      </c>
      <c r="H17" s="1">
        <v>3</v>
      </c>
      <c r="I17" s="1">
        <v>7</v>
      </c>
      <c r="J17">
        <v>7</v>
      </c>
      <c r="K17">
        <v>4</v>
      </c>
      <c r="L17">
        <v>7</v>
      </c>
    </row>
    <row r="18" spans="1:12" ht="15.75" x14ac:dyDescent="0.25">
      <c r="A18" s="12">
        <v>16</v>
      </c>
      <c r="B18" s="13" t="s">
        <v>83</v>
      </c>
      <c r="C18" s="13" t="s">
        <v>61</v>
      </c>
      <c r="D18" s="1">
        <v>2</v>
      </c>
      <c r="E18" s="1">
        <v>10</v>
      </c>
      <c r="F18" s="1">
        <v>9</v>
      </c>
      <c r="G18" s="1">
        <v>4</v>
      </c>
      <c r="H18" s="1">
        <v>9</v>
      </c>
      <c r="I18" s="1">
        <v>8</v>
      </c>
      <c r="J18">
        <v>5</v>
      </c>
      <c r="K18">
        <v>4</v>
      </c>
      <c r="L18">
        <v>6</v>
      </c>
    </row>
    <row r="19" spans="1:12" ht="15.75" x14ac:dyDescent="0.25">
      <c r="A19" s="12">
        <v>17</v>
      </c>
      <c r="B19" s="13" t="s">
        <v>83</v>
      </c>
      <c r="C19" s="13" t="s">
        <v>62</v>
      </c>
      <c r="D19" s="1">
        <v>2</v>
      </c>
      <c r="E19" s="1">
        <v>3</v>
      </c>
      <c r="F19" s="1">
        <v>8</v>
      </c>
      <c r="G19" s="1">
        <v>2</v>
      </c>
      <c r="H19" s="1">
        <v>5</v>
      </c>
      <c r="I19" s="1">
        <v>9</v>
      </c>
      <c r="J19">
        <v>5</v>
      </c>
      <c r="K19">
        <v>3</v>
      </c>
      <c r="L19">
        <v>7</v>
      </c>
    </row>
    <row r="20" spans="1:12" ht="15.75" x14ac:dyDescent="0.25">
      <c r="A20" s="12">
        <v>18</v>
      </c>
      <c r="B20" s="13" t="s">
        <v>83</v>
      </c>
      <c r="C20" s="13" t="s">
        <v>63</v>
      </c>
      <c r="D20" s="1">
        <v>4</v>
      </c>
      <c r="E20" s="1">
        <v>5</v>
      </c>
      <c r="F20" s="1">
        <v>7</v>
      </c>
      <c r="G20" s="1">
        <v>5</v>
      </c>
      <c r="H20" s="1">
        <v>6</v>
      </c>
      <c r="I20" s="1">
        <v>9</v>
      </c>
      <c r="J20">
        <v>7</v>
      </c>
      <c r="K20">
        <v>6</v>
      </c>
      <c r="L20">
        <v>9</v>
      </c>
    </row>
    <row r="21" spans="1:12" ht="15.75" x14ac:dyDescent="0.25">
      <c r="A21" s="12">
        <v>19</v>
      </c>
      <c r="B21" s="13" t="s">
        <v>83</v>
      </c>
      <c r="C21" s="13" t="s">
        <v>92</v>
      </c>
      <c r="D21" s="1">
        <v>5</v>
      </c>
      <c r="E21" s="1">
        <v>8</v>
      </c>
      <c r="F21" s="1">
        <v>8</v>
      </c>
      <c r="G21" s="1">
        <v>2</v>
      </c>
      <c r="H21" s="1">
        <v>5</v>
      </c>
      <c r="I21" s="1">
        <v>8</v>
      </c>
      <c r="J21">
        <v>4</v>
      </c>
      <c r="K21">
        <v>5</v>
      </c>
      <c r="L21">
        <v>8</v>
      </c>
    </row>
    <row r="22" spans="1:12" ht="15.75" x14ac:dyDescent="0.25">
      <c r="A22" s="12">
        <v>20</v>
      </c>
      <c r="B22" s="13" t="s">
        <v>83</v>
      </c>
      <c r="C22" s="13" t="s">
        <v>65</v>
      </c>
      <c r="D22" s="1">
        <v>1</v>
      </c>
      <c r="E22" s="1">
        <v>10</v>
      </c>
      <c r="F22" s="1">
        <v>8</v>
      </c>
      <c r="G22" s="1">
        <v>1</v>
      </c>
      <c r="H22" s="1">
        <v>4</v>
      </c>
      <c r="I22" s="1">
        <v>8</v>
      </c>
      <c r="J22">
        <v>8</v>
      </c>
      <c r="K22">
        <v>5</v>
      </c>
      <c r="L22">
        <v>7</v>
      </c>
    </row>
    <row r="23" spans="1:12" ht="15.75" x14ac:dyDescent="0.25">
      <c r="A23" s="12">
        <v>21</v>
      </c>
      <c r="B23" s="13" t="s">
        <v>84</v>
      </c>
      <c r="C23" s="13" t="s">
        <v>66</v>
      </c>
      <c r="D23" s="1">
        <v>7</v>
      </c>
      <c r="E23" s="1">
        <v>10</v>
      </c>
      <c r="F23" s="1">
        <v>7</v>
      </c>
      <c r="G23" s="1">
        <v>5</v>
      </c>
      <c r="H23" s="1">
        <v>9</v>
      </c>
      <c r="I23" s="1">
        <v>9</v>
      </c>
      <c r="J23">
        <v>3</v>
      </c>
      <c r="K23">
        <v>3</v>
      </c>
      <c r="L23">
        <v>8</v>
      </c>
    </row>
    <row r="24" spans="1:12" ht="15.75" x14ac:dyDescent="0.25">
      <c r="A24" s="12">
        <v>22</v>
      </c>
      <c r="B24" s="13" t="s">
        <v>84</v>
      </c>
      <c r="C24" s="13" t="s">
        <v>67</v>
      </c>
      <c r="D24" s="1">
        <v>10</v>
      </c>
      <c r="E24" s="1">
        <v>10</v>
      </c>
      <c r="F24" s="1">
        <v>7</v>
      </c>
      <c r="G24" s="1">
        <v>8</v>
      </c>
      <c r="H24" s="1">
        <v>7</v>
      </c>
      <c r="I24" s="1">
        <v>8</v>
      </c>
      <c r="J24">
        <v>7</v>
      </c>
      <c r="K24">
        <v>4</v>
      </c>
      <c r="L24">
        <v>8</v>
      </c>
    </row>
    <row r="25" spans="1:12" ht="15.75" x14ac:dyDescent="0.25">
      <c r="A25" s="12">
        <v>23</v>
      </c>
      <c r="B25" s="13" t="s">
        <v>84</v>
      </c>
      <c r="C25" s="13" t="s">
        <v>68</v>
      </c>
      <c r="D25" s="1">
        <v>10</v>
      </c>
      <c r="E25" s="1">
        <v>1</v>
      </c>
      <c r="F25" s="1">
        <v>10</v>
      </c>
      <c r="G25" s="1">
        <v>3</v>
      </c>
      <c r="H25" s="1">
        <v>1</v>
      </c>
      <c r="I25" s="1">
        <v>9</v>
      </c>
      <c r="J25">
        <v>3</v>
      </c>
      <c r="K25">
        <v>5</v>
      </c>
      <c r="L25">
        <v>8</v>
      </c>
    </row>
    <row r="26" spans="1:12" ht="15.75" x14ac:dyDescent="0.25">
      <c r="A26" s="12">
        <v>24</v>
      </c>
      <c r="B26" s="13" t="s">
        <v>84</v>
      </c>
      <c r="C26" s="13" t="s">
        <v>69</v>
      </c>
      <c r="D26" s="1">
        <v>10</v>
      </c>
      <c r="E26" s="1">
        <v>1</v>
      </c>
      <c r="F26" s="1">
        <v>7</v>
      </c>
      <c r="G26" s="1">
        <v>3</v>
      </c>
      <c r="H26" s="1">
        <v>2</v>
      </c>
      <c r="I26" s="1">
        <v>9</v>
      </c>
      <c r="J26">
        <v>3</v>
      </c>
      <c r="K26">
        <v>6</v>
      </c>
      <c r="L26">
        <v>6</v>
      </c>
    </row>
    <row r="27" spans="1:12" ht="15.75" x14ac:dyDescent="0.25">
      <c r="A27" s="12">
        <v>25</v>
      </c>
      <c r="B27" s="13" t="s">
        <v>84</v>
      </c>
      <c r="C27" s="13" t="s">
        <v>70</v>
      </c>
      <c r="D27" s="1">
        <v>10</v>
      </c>
      <c r="E27" s="1">
        <v>1</v>
      </c>
      <c r="F27" s="1">
        <v>4</v>
      </c>
      <c r="G27" s="1">
        <v>2</v>
      </c>
      <c r="H27" s="1">
        <v>5</v>
      </c>
      <c r="I27" s="1">
        <v>7</v>
      </c>
      <c r="J27">
        <v>3</v>
      </c>
      <c r="K27">
        <v>7</v>
      </c>
      <c r="L27">
        <v>4</v>
      </c>
    </row>
    <row r="28" spans="1:12" ht="15.75" x14ac:dyDescent="0.25">
      <c r="A28" s="12">
        <v>26</v>
      </c>
      <c r="B28" s="13" t="s">
        <v>85</v>
      </c>
      <c r="C28" s="13" t="s">
        <v>71</v>
      </c>
      <c r="D28" s="1">
        <v>7</v>
      </c>
      <c r="E28" s="1">
        <v>3</v>
      </c>
      <c r="F28" s="1">
        <v>3</v>
      </c>
      <c r="G28" s="1">
        <v>6</v>
      </c>
      <c r="H28" s="1">
        <v>2</v>
      </c>
      <c r="I28" s="1">
        <v>6</v>
      </c>
      <c r="J28">
        <v>7</v>
      </c>
      <c r="K28">
        <v>3</v>
      </c>
      <c r="L28">
        <v>6</v>
      </c>
    </row>
    <row r="29" spans="1:12" ht="15.75" x14ac:dyDescent="0.25">
      <c r="A29" s="12">
        <v>27</v>
      </c>
      <c r="B29" s="13" t="s">
        <v>85</v>
      </c>
      <c r="C29" s="13" t="s">
        <v>72</v>
      </c>
      <c r="D29" s="1">
        <v>10</v>
      </c>
      <c r="E29" s="1">
        <v>1</v>
      </c>
      <c r="F29" s="1">
        <v>6</v>
      </c>
      <c r="G29" s="1">
        <v>6</v>
      </c>
      <c r="H29" s="1">
        <v>4</v>
      </c>
      <c r="I29" s="1">
        <v>9</v>
      </c>
      <c r="J29">
        <v>8</v>
      </c>
      <c r="K29">
        <v>3</v>
      </c>
      <c r="L29">
        <v>7</v>
      </c>
    </row>
    <row r="30" spans="1:12" ht="15.75" x14ac:dyDescent="0.25">
      <c r="A30" s="12">
        <v>28</v>
      </c>
      <c r="B30" s="13" t="s">
        <v>85</v>
      </c>
      <c r="C30" s="13" t="s">
        <v>73</v>
      </c>
      <c r="D30" s="1">
        <v>10</v>
      </c>
      <c r="E30" s="1">
        <v>1</v>
      </c>
      <c r="F30" s="1">
        <v>7</v>
      </c>
      <c r="G30" s="1">
        <v>2</v>
      </c>
      <c r="H30" s="1">
        <v>3</v>
      </c>
      <c r="I30" s="1">
        <v>6</v>
      </c>
      <c r="J30">
        <v>8</v>
      </c>
      <c r="K30">
        <v>4</v>
      </c>
      <c r="L30">
        <v>6</v>
      </c>
    </row>
    <row r="31" spans="1:12" ht="15.75" x14ac:dyDescent="0.25">
      <c r="A31" s="12">
        <v>29</v>
      </c>
      <c r="B31" s="13" t="s">
        <v>85</v>
      </c>
      <c r="C31" s="13" t="s">
        <v>74</v>
      </c>
      <c r="D31" s="1">
        <v>10</v>
      </c>
      <c r="E31" s="1">
        <v>1</v>
      </c>
      <c r="F31" s="1">
        <v>7</v>
      </c>
      <c r="G31" s="1">
        <v>6</v>
      </c>
      <c r="H31" s="1">
        <v>2</v>
      </c>
      <c r="I31" s="1">
        <v>6</v>
      </c>
      <c r="J31">
        <v>9</v>
      </c>
      <c r="K31">
        <v>5</v>
      </c>
      <c r="L31">
        <v>8</v>
      </c>
    </row>
    <row r="32" spans="1:12" ht="15.75" x14ac:dyDescent="0.25">
      <c r="A32" s="12">
        <v>30</v>
      </c>
      <c r="B32" s="13" t="s">
        <v>85</v>
      </c>
      <c r="C32" s="13" t="s">
        <v>75</v>
      </c>
      <c r="D32" s="1">
        <v>10</v>
      </c>
      <c r="E32" s="1">
        <v>10</v>
      </c>
      <c r="F32" s="1">
        <v>8</v>
      </c>
      <c r="G32" s="1">
        <v>8</v>
      </c>
      <c r="H32" s="1">
        <v>7</v>
      </c>
      <c r="I32" s="1">
        <v>9</v>
      </c>
      <c r="J32">
        <v>6</v>
      </c>
      <c r="K32">
        <v>7</v>
      </c>
      <c r="L32">
        <v>9</v>
      </c>
    </row>
    <row r="33" spans="1:12" ht="15.75" x14ac:dyDescent="0.25">
      <c r="A33" s="12">
        <v>31</v>
      </c>
      <c r="B33" s="13" t="s">
        <v>86</v>
      </c>
      <c r="C33" s="13" t="s">
        <v>76</v>
      </c>
      <c r="D33" s="1">
        <v>10</v>
      </c>
      <c r="E33" s="1">
        <v>6</v>
      </c>
      <c r="F33" s="1">
        <v>10</v>
      </c>
      <c r="G33" s="1">
        <v>5</v>
      </c>
      <c r="H33" s="1">
        <v>3</v>
      </c>
      <c r="I33" s="1">
        <v>6</v>
      </c>
      <c r="J33">
        <v>6</v>
      </c>
      <c r="K33">
        <v>6</v>
      </c>
      <c r="L33">
        <v>8</v>
      </c>
    </row>
    <row r="34" spans="1:12" ht="15.75" x14ac:dyDescent="0.25">
      <c r="A34" s="12">
        <v>32</v>
      </c>
      <c r="B34" s="13" t="s">
        <v>86</v>
      </c>
      <c r="C34" s="13" t="s">
        <v>77</v>
      </c>
      <c r="D34" s="1">
        <v>10</v>
      </c>
      <c r="E34" s="1">
        <v>7</v>
      </c>
      <c r="F34" s="1">
        <v>4</v>
      </c>
      <c r="G34" s="1">
        <v>6</v>
      </c>
      <c r="H34" s="1">
        <v>4</v>
      </c>
      <c r="I34" s="1">
        <v>7</v>
      </c>
      <c r="J34">
        <v>7</v>
      </c>
      <c r="K34">
        <v>6</v>
      </c>
      <c r="L34">
        <v>8</v>
      </c>
    </row>
    <row r="35" spans="1:12" ht="15.75" x14ac:dyDescent="0.25">
      <c r="A35" s="12">
        <v>33</v>
      </c>
      <c r="B35" s="13" t="s">
        <v>86</v>
      </c>
      <c r="C35" s="13" t="s">
        <v>78</v>
      </c>
      <c r="D35" s="1">
        <v>10</v>
      </c>
      <c r="E35" s="1">
        <v>8</v>
      </c>
      <c r="F35" s="1">
        <v>10</v>
      </c>
      <c r="G35" s="1">
        <v>10</v>
      </c>
      <c r="H35" s="1">
        <v>5</v>
      </c>
      <c r="I35" s="1">
        <v>10</v>
      </c>
      <c r="J35">
        <v>1</v>
      </c>
      <c r="K35">
        <v>6</v>
      </c>
      <c r="L35">
        <v>8</v>
      </c>
    </row>
    <row r="36" spans="1:12" ht="15.75" x14ac:dyDescent="0.25">
      <c r="A36" s="12">
        <v>34</v>
      </c>
      <c r="B36" s="13" t="s">
        <v>86</v>
      </c>
      <c r="C36" s="13" t="s">
        <v>79</v>
      </c>
      <c r="D36" s="1">
        <v>10</v>
      </c>
      <c r="E36" s="1">
        <v>5</v>
      </c>
      <c r="F36" s="1">
        <v>6</v>
      </c>
      <c r="G36" s="1">
        <v>7</v>
      </c>
      <c r="H36" s="1">
        <v>7</v>
      </c>
      <c r="I36" s="1">
        <v>7</v>
      </c>
      <c r="J36">
        <v>8</v>
      </c>
      <c r="K36">
        <v>7</v>
      </c>
      <c r="L36">
        <v>9</v>
      </c>
    </row>
    <row r="37" spans="1:12" ht="15.75" x14ac:dyDescent="0.25">
      <c r="A37" s="12">
        <v>35</v>
      </c>
      <c r="B37" s="13" t="s">
        <v>86</v>
      </c>
      <c r="C37" s="13" t="s">
        <v>80</v>
      </c>
      <c r="D37" s="1">
        <v>10</v>
      </c>
      <c r="E37" s="1">
        <v>6</v>
      </c>
      <c r="F37" s="1">
        <v>8</v>
      </c>
      <c r="G37" s="1">
        <v>5</v>
      </c>
      <c r="H37" s="1">
        <v>4</v>
      </c>
      <c r="I37" s="1">
        <v>8</v>
      </c>
      <c r="J37">
        <v>5</v>
      </c>
      <c r="K37">
        <v>8</v>
      </c>
      <c r="L37">
        <v>9</v>
      </c>
    </row>
    <row r="38" spans="1:12" ht="15.75" x14ac:dyDescent="0.25">
      <c r="A38" s="12">
        <v>36</v>
      </c>
      <c r="B38" s="13" t="s">
        <v>86</v>
      </c>
      <c r="C38" s="13" t="s">
        <v>93</v>
      </c>
      <c r="D38" s="1">
        <v>10</v>
      </c>
      <c r="E38" s="1">
        <v>10</v>
      </c>
      <c r="F38" s="1">
        <v>10</v>
      </c>
      <c r="G38" s="1">
        <v>8</v>
      </c>
      <c r="H38" s="1">
        <v>9</v>
      </c>
      <c r="I38" s="1">
        <v>9</v>
      </c>
      <c r="J38">
        <v>7</v>
      </c>
      <c r="K38">
        <v>7</v>
      </c>
      <c r="L38">
        <v>9</v>
      </c>
    </row>
  </sheetData>
  <mergeCells count="3">
    <mergeCell ref="D1:F1"/>
    <mergeCell ref="G1:I1"/>
    <mergeCell ref="J1:L1"/>
  </mergeCells>
  <hyperlinks>
    <hyperlink ref="D2" location="Ocorrência!A1" display="Ocorrência" xr:uid="{20045906-5343-46AE-B0E6-7B4C3234B428}"/>
    <hyperlink ref="E2" location="Detecção!A1" display="Detecção" xr:uid="{868B91E6-B5C8-447A-8D43-9911F06EDE8E}"/>
    <hyperlink ref="F2" location="Severidade!A1" display="Severidade" xr:uid="{38D98DEB-92B9-4CB5-906E-B3741A7C19A3}"/>
    <hyperlink ref="G2" location="Ocorrência!A1" display="Ocorrência" xr:uid="{745207C8-129A-4461-B754-DB2B189E0DF8}"/>
    <hyperlink ref="H2" location="Detecção!A1" display="Detecção" xr:uid="{BB298858-C6F4-4AB8-88B7-5BAD5731EE16}"/>
    <hyperlink ref="I2" location="Severidade!A1" display="Severidade" xr:uid="{760F43B8-8A43-426D-BC2B-E866C059BA4A}"/>
    <hyperlink ref="J2" location="Ocorrência!A1" display="Ocorrência" xr:uid="{3A37BC42-4CD8-45F2-9189-62EA3DF00006}"/>
    <hyperlink ref="K2" location="Detecção!A1" display="Detecção" xr:uid="{128DA6FC-BD38-403E-A0EB-7CB9E8C2567B}"/>
    <hyperlink ref="L2" location="Severidade!A1" display="Severidade" xr:uid="{5F0D3582-8171-48BC-B803-14E6F4CD8956}"/>
  </hyperlink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A5AD66D-253B-4A0F-8B5B-24CD37617499}">
          <x14:formula1>
            <xm:f>'tabelaas de nota'!$A$1:$A$10</xm:f>
          </x14:formula1>
          <xm:sqref>D3:F38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0D12A-F1E6-47EA-9D63-4D83DD5E2756}">
  <dimension ref="A2:T328"/>
  <sheetViews>
    <sheetView workbookViewId="0">
      <pane ySplit="4" topLeftCell="A7" activePane="bottomLeft" state="frozen"/>
      <selection pane="bottomLeft" activeCell="J21" sqref="J21"/>
    </sheetView>
  </sheetViews>
  <sheetFormatPr defaultRowHeight="15" x14ac:dyDescent="0.25"/>
  <cols>
    <col min="1" max="1" width="11.85546875" style="2" bestFit="1" customWidth="1"/>
    <col min="2" max="2" width="16.42578125" style="2" bestFit="1" customWidth="1"/>
    <col min="3" max="3" width="9.42578125" style="2" bestFit="1" customWidth="1"/>
    <col min="4" max="4" width="9.85546875" style="2" bestFit="1" customWidth="1"/>
    <col min="5" max="5" width="8" style="2" bestFit="1" customWidth="1"/>
    <col min="6" max="6" width="6.28515625" style="2" bestFit="1" customWidth="1"/>
    <col min="7" max="7" width="8.28515625" style="2" bestFit="1" customWidth="1"/>
    <col min="8" max="8" width="11.5703125" style="16" bestFit="1" customWidth="1"/>
    <col min="9" max="9" width="8.5703125" style="16" bestFit="1" customWidth="1"/>
    <col min="10" max="10" width="11.85546875" style="16" bestFit="1" customWidth="1"/>
    <col min="11" max="11" width="11.5703125" style="16" bestFit="1" customWidth="1"/>
    <col min="12" max="12" width="8.5703125" style="16" bestFit="1" customWidth="1"/>
    <col min="13" max="13" width="11.85546875" style="16" bestFit="1" customWidth="1"/>
    <col min="14" max="14" width="11.42578125" bestFit="1" customWidth="1"/>
  </cols>
  <sheetData>
    <row r="2" spans="1:20" x14ac:dyDescent="0.25">
      <c r="Q2">
        <v>36</v>
      </c>
      <c r="R2">
        <v>3</v>
      </c>
      <c r="S2">
        <v>3</v>
      </c>
      <c r="T2">
        <f>S2*R2*Q2</f>
        <v>324</v>
      </c>
    </row>
    <row r="3" spans="1:20" x14ac:dyDescent="0.25">
      <c r="D3" s="2" t="s">
        <v>103</v>
      </c>
      <c r="E3" s="47" t="s">
        <v>247</v>
      </c>
      <c r="F3" s="47"/>
      <c r="G3" s="47"/>
      <c r="H3" s="46" t="s">
        <v>245</v>
      </c>
      <c r="I3" s="46"/>
      <c r="J3" s="46"/>
      <c r="K3" s="46" t="s">
        <v>246</v>
      </c>
      <c r="L3" s="46"/>
      <c r="M3" s="46"/>
      <c r="N3" s="2">
        <f>COUNTIF(N5:N328,"SIM")</f>
        <v>44</v>
      </c>
    </row>
    <row r="4" spans="1:20" x14ac:dyDescent="0.25">
      <c r="A4" s="25" t="s">
        <v>242</v>
      </c>
      <c r="B4" s="25" t="s">
        <v>243</v>
      </c>
      <c r="C4" s="25" t="s">
        <v>244</v>
      </c>
      <c r="D4" s="26" t="s">
        <v>205</v>
      </c>
      <c r="E4" s="25" t="s">
        <v>97</v>
      </c>
      <c r="F4" s="25" t="s">
        <v>98</v>
      </c>
      <c r="G4" s="25" t="s">
        <v>99</v>
      </c>
      <c r="H4" s="27" t="s">
        <v>100</v>
      </c>
      <c r="I4" s="27" t="s">
        <v>101</v>
      </c>
      <c r="J4" s="27" t="s">
        <v>102</v>
      </c>
      <c r="K4" s="27" t="s">
        <v>100</v>
      </c>
      <c r="L4" s="27" t="s">
        <v>101</v>
      </c>
      <c r="M4" s="27" t="s">
        <v>102</v>
      </c>
      <c r="N4" s="28" t="s">
        <v>104</v>
      </c>
    </row>
    <row r="5" spans="1:20" x14ac:dyDescent="0.25">
      <c r="A5" s="17">
        <v>1</v>
      </c>
      <c r="B5" s="17">
        <v>1</v>
      </c>
      <c r="C5" s="17" t="s">
        <v>94</v>
      </c>
      <c r="D5" s="21">
        <v>8</v>
      </c>
      <c r="E5" s="17">
        <f>IF(F5-1=0,"",F5-1)</f>
        <v>7</v>
      </c>
      <c r="F5" s="17">
        <f>D5</f>
        <v>8</v>
      </c>
      <c r="G5" s="17">
        <f>IF(F5+1=11,"",F5+1)</f>
        <v>9</v>
      </c>
      <c r="H5" s="15">
        <f>IF(E5&lt;&gt;"",(1/(0.5*SQRT(2*PI()))) * EXP(-((E5 - $D5)^2)/(2*0.5^2)),"")</f>
        <v>0.10798193302637613</v>
      </c>
      <c r="I5" s="15">
        <f>(1/(0.5*SQRT(2*PI()))) * EXP(-((F5 - $D5)^2)/(2*0.5^2))</f>
        <v>0.79788456080286541</v>
      </c>
      <c r="J5" s="15">
        <f>IF(G5&lt;&gt;"",(1/(0.5*SQRT(2*PI()))) * EXP(-((G5 - $D5)^2)/(2*0.5^2)),"")</f>
        <v>0.10798193302637613</v>
      </c>
      <c r="K5" s="15">
        <f>IF(H5&lt;&gt;"",H5/(SUM(H5:J5)),"")</f>
        <v>0.10650697891920077</v>
      </c>
      <c r="L5" s="15">
        <f>I5/SUM(H5:J5)</f>
        <v>0.78698604216159851</v>
      </c>
      <c r="M5" s="15">
        <f>IF(J5&lt;&gt;"",J5/SUM(H5:J5),"")</f>
        <v>0.10650697891920077</v>
      </c>
    </row>
    <row r="6" spans="1:20" x14ac:dyDescent="0.25">
      <c r="A6" s="17">
        <v>1</v>
      </c>
      <c r="B6" s="17">
        <v>2</v>
      </c>
      <c r="C6" s="17" t="s">
        <v>94</v>
      </c>
      <c r="D6" s="21">
        <v>7</v>
      </c>
      <c r="E6" s="17">
        <f t="shared" ref="E6:E69" si="0">IF(F6-1=0,"",F6-1)</f>
        <v>6</v>
      </c>
      <c r="F6" s="17">
        <f t="shared" ref="F6:F69" si="1">D6</f>
        <v>7</v>
      </c>
      <c r="G6" s="17">
        <f t="shared" ref="G6:G69" si="2">IF(F6+1=11,"",F6+1)</f>
        <v>8</v>
      </c>
      <c r="H6" s="15">
        <f t="shared" ref="H6:H69" si="3">IF(E6&lt;&gt;"",(1/(0.5*SQRT(2*PI()))) * EXP(-((E6 - $D6)^2)/(2*0.5^2)),"")</f>
        <v>0.10798193302637613</v>
      </c>
      <c r="I6" s="15">
        <f t="shared" ref="I6:I69" si="4">(1/(0.5*SQRT(2*PI()))) * EXP(-((F6 - $D6)^2)/(2*0.5^2))</f>
        <v>0.79788456080286541</v>
      </c>
      <c r="J6" s="15">
        <f t="shared" ref="J6:J69" si="5">IF(G6&lt;&gt;"",(1/(0.5*SQRT(2*PI()))) * EXP(-((G6 - $D6)^2)/(2*0.5^2)),"")</f>
        <v>0.10798193302637613</v>
      </c>
      <c r="K6" s="15">
        <f t="shared" ref="K6:K69" si="6">IF(H6&lt;&gt;"",H6/(SUM(H6:J6)),"")</f>
        <v>0.10650697891920077</v>
      </c>
      <c r="L6" s="15">
        <f t="shared" ref="L6:L69" si="7">I6/SUM(H6:J6)</f>
        <v>0.78698604216159851</v>
      </c>
      <c r="M6" s="15">
        <f t="shared" ref="M6:M69" si="8">IF(J6&lt;&gt;"",J6/SUM(H6:J6),"")</f>
        <v>0.10650697891920077</v>
      </c>
    </row>
    <row r="7" spans="1:20" x14ac:dyDescent="0.25">
      <c r="A7" s="17">
        <v>1</v>
      </c>
      <c r="B7" s="17">
        <v>3</v>
      </c>
      <c r="C7" s="17" t="s">
        <v>94</v>
      </c>
      <c r="D7" s="21">
        <v>8</v>
      </c>
      <c r="E7" s="17">
        <f t="shared" si="0"/>
        <v>7</v>
      </c>
      <c r="F7" s="17">
        <f t="shared" si="1"/>
        <v>8</v>
      </c>
      <c r="G7" s="17">
        <f t="shared" si="2"/>
        <v>9</v>
      </c>
      <c r="H7" s="15">
        <f t="shared" si="3"/>
        <v>0.10798193302637613</v>
      </c>
      <c r="I7" s="15">
        <f t="shared" si="4"/>
        <v>0.79788456080286541</v>
      </c>
      <c r="J7" s="15">
        <f t="shared" si="5"/>
        <v>0.10798193302637613</v>
      </c>
      <c r="K7" s="15">
        <f t="shared" si="6"/>
        <v>0.10650697891920077</v>
      </c>
      <c r="L7" s="15">
        <f t="shared" si="7"/>
        <v>0.78698604216159851</v>
      </c>
      <c r="M7" s="15">
        <f t="shared" si="8"/>
        <v>0.10650697891920077</v>
      </c>
    </row>
    <row r="8" spans="1:20" x14ac:dyDescent="0.25">
      <c r="A8" s="2">
        <v>1</v>
      </c>
      <c r="B8" s="2">
        <v>1</v>
      </c>
      <c r="C8" s="2" t="s">
        <v>95</v>
      </c>
      <c r="D8" s="22">
        <v>7</v>
      </c>
      <c r="E8" s="2">
        <f>IF(F8-1=0,"",F8-1)</f>
        <v>6</v>
      </c>
      <c r="F8" s="2">
        <f>D8</f>
        <v>7</v>
      </c>
      <c r="G8" s="2">
        <f>IF(F8+1=11,"",F8+1)</f>
        <v>8</v>
      </c>
      <c r="H8" s="16">
        <f>IF(E8&lt;&gt;"",(1/(0.5*SQRT(2*PI()))) * EXP(-((E8 - $D8)^2)/(2*0.5^2)),"")</f>
        <v>0.10798193302637613</v>
      </c>
      <c r="I8" s="16">
        <f>(1/(0.5*SQRT(2*PI()))) * EXP(-((F8 - $D8)^2)/(2*0.5^2))</f>
        <v>0.79788456080286541</v>
      </c>
      <c r="J8" s="16">
        <f>IF(G8&lt;&gt;"",(1/(0.5*SQRT(2*PI()))) * EXP(-((G8 - $D8)^2)/(2*0.5^2)),"")</f>
        <v>0.10798193302637613</v>
      </c>
      <c r="K8" s="16">
        <f t="shared" si="6"/>
        <v>0.10650697891920077</v>
      </c>
      <c r="L8" s="16">
        <f t="shared" si="7"/>
        <v>0.78698604216159851</v>
      </c>
      <c r="M8" s="16">
        <f t="shared" si="8"/>
        <v>0.10650697891920077</v>
      </c>
    </row>
    <row r="9" spans="1:20" x14ac:dyDescent="0.25">
      <c r="A9" s="2">
        <v>1</v>
      </c>
      <c r="B9" s="2">
        <v>2</v>
      </c>
      <c r="C9" s="2" t="s">
        <v>95</v>
      </c>
      <c r="D9" s="22">
        <v>7</v>
      </c>
      <c r="E9" s="2">
        <f>IF(F9-1=0,"",F9-1)</f>
        <v>6</v>
      </c>
      <c r="F9" s="2">
        <f>D9</f>
        <v>7</v>
      </c>
      <c r="G9" s="2">
        <f>IF(F9+1=11,"",F9+1)</f>
        <v>8</v>
      </c>
      <c r="H9" s="16">
        <f>IF(E9&lt;&gt;"",(1/(0.5*SQRT(2*PI()))) * EXP(-((E9 - $D9)^2)/(2*0.5^2)),"")</f>
        <v>0.10798193302637613</v>
      </c>
      <c r="I9" s="16">
        <f>(1/(0.5*SQRT(2*PI()))) * EXP(-((F9 - $D9)^2)/(2*0.5^2))</f>
        <v>0.79788456080286541</v>
      </c>
      <c r="J9" s="16">
        <f>IF(G9&lt;&gt;"",(1/(0.5*SQRT(2*PI()))) * EXP(-((G9 - $D9)^2)/(2*0.5^2)),"")</f>
        <v>0.10798193302637613</v>
      </c>
      <c r="K9" s="16">
        <f t="shared" si="6"/>
        <v>0.10650697891920077</v>
      </c>
      <c r="L9" s="16">
        <f t="shared" si="7"/>
        <v>0.78698604216159851</v>
      </c>
      <c r="M9" s="16">
        <f t="shared" si="8"/>
        <v>0.10650697891920077</v>
      </c>
    </row>
    <row r="10" spans="1:20" x14ac:dyDescent="0.25">
      <c r="A10" s="18">
        <v>1</v>
      </c>
      <c r="B10" s="18">
        <v>3</v>
      </c>
      <c r="C10" s="18" t="s">
        <v>95</v>
      </c>
      <c r="D10" s="23">
        <v>4</v>
      </c>
      <c r="E10" s="18">
        <f>IF(F10-1=0,"",F10-1)</f>
        <v>3</v>
      </c>
      <c r="F10" s="18">
        <f>D10</f>
        <v>4</v>
      </c>
      <c r="G10" s="18">
        <f>IF(F10+1=11,"",F10+1)</f>
        <v>5</v>
      </c>
      <c r="H10" s="19">
        <f>IF(E10&lt;&gt;"",(1/(0.5*SQRT(2*PI()))) * EXP(-((E10 - $D10)^2)/(2*0.5^2)),"")</f>
        <v>0.10798193302637613</v>
      </c>
      <c r="I10" s="19">
        <f>(1/(0.5*SQRT(2*PI()))) * EXP(-((F10 - $D10)^2)/(2*0.5^2))</f>
        <v>0.79788456080286541</v>
      </c>
      <c r="J10" s="19">
        <f>IF(G10&lt;&gt;"",(1/(0.5*SQRT(2*PI()))) * EXP(-((G10 - $D10)^2)/(2*0.5^2)),"")</f>
        <v>0.10798193302637613</v>
      </c>
      <c r="K10" s="19">
        <f t="shared" si="6"/>
        <v>0.10650697891920077</v>
      </c>
      <c r="L10" s="19">
        <f t="shared" si="7"/>
        <v>0.78698604216159851</v>
      </c>
      <c r="M10" s="19">
        <f t="shared" si="8"/>
        <v>0.10650697891920077</v>
      </c>
      <c r="N10" s="20" t="s">
        <v>105</v>
      </c>
    </row>
    <row r="11" spans="1:20" x14ac:dyDescent="0.25">
      <c r="A11" s="17">
        <v>1</v>
      </c>
      <c r="B11" s="17">
        <v>1</v>
      </c>
      <c r="C11" s="17" t="s">
        <v>96</v>
      </c>
      <c r="D11" s="21">
        <v>8</v>
      </c>
      <c r="E11" s="17">
        <f t="shared" si="0"/>
        <v>7</v>
      </c>
      <c r="F11" s="17">
        <f t="shared" si="1"/>
        <v>8</v>
      </c>
      <c r="G11" s="17">
        <f t="shared" si="2"/>
        <v>9</v>
      </c>
      <c r="H11" s="15">
        <f t="shared" si="3"/>
        <v>0.10798193302637613</v>
      </c>
      <c r="I11" s="15">
        <f t="shared" si="4"/>
        <v>0.79788456080286541</v>
      </c>
      <c r="J11" s="15">
        <f t="shared" si="5"/>
        <v>0.10798193302637613</v>
      </c>
      <c r="K11" s="15">
        <f t="shared" si="6"/>
        <v>0.10650697891920077</v>
      </c>
      <c r="L11" s="15">
        <f t="shared" si="7"/>
        <v>0.78698604216159851</v>
      </c>
      <c r="M11" s="15">
        <f t="shared" si="8"/>
        <v>0.10650697891920077</v>
      </c>
    </row>
    <row r="12" spans="1:20" x14ac:dyDescent="0.25">
      <c r="A12" s="17">
        <v>1</v>
      </c>
      <c r="B12" s="17">
        <v>2</v>
      </c>
      <c r="C12" s="17" t="s">
        <v>96</v>
      </c>
      <c r="D12" s="21">
        <v>8</v>
      </c>
      <c r="E12" s="17">
        <f t="shared" si="0"/>
        <v>7</v>
      </c>
      <c r="F12" s="17">
        <f t="shared" si="1"/>
        <v>8</v>
      </c>
      <c r="G12" s="17">
        <f t="shared" si="2"/>
        <v>9</v>
      </c>
      <c r="H12" s="15">
        <f t="shared" si="3"/>
        <v>0.10798193302637613</v>
      </c>
      <c r="I12" s="15">
        <f t="shared" si="4"/>
        <v>0.79788456080286541</v>
      </c>
      <c r="J12" s="15">
        <f t="shared" si="5"/>
        <v>0.10798193302637613</v>
      </c>
      <c r="K12" s="15">
        <f t="shared" si="6"/>
        <v>0.10650697891920077</v>
      </c>
      <c r="L12" s="15">
        <f t="shared" si="7"/>
        <v>0.78698604216159851</v>
      </c>
      <c r="M12" s="15">
        <f t="shared" si="8"/>
        <v>0.10650697891920077</v>
      </c>
    </row>
    <row r="13" spans="1:20" x14ac:dyDescent="0.25">
      <c r="A13" s="17">
        <v>1</v>
      </c>
      <c r="B13" s="17">
        <v>3</v>
      </c>
      <c r="C13" s="17" t="s">
        <v>96</v>
      </c>
      <c r="D13" s="21">
        <v>8</v>
      </c>
      <c r="E13" s="17">
        <f t="shared" si="0"/>
        <v>7</v>
      </c>
      <c r="F13" s="17">
        <f t="shared" si="1"/>
        <v>8</v>
      </c>
      <c r="G13" s="17">
        <f t="shared" si="2"/>
        <v>9</v>
      </c>
      <c r="H13" s="15">
        <f t="shared" si="3"/>
        <v>0.10798193302637613</v>
      </c>
      <c r="I13" s="15">
        <f t="shared" si="4"/>
        <v>0.79788456080286541</v>
      </c>
      <c r="J13" s="15">
        <f t="shared" si="5"/>
        <v>0.10798193302637613</v>
      </c>
      <c r="K13" s="15">
        <f t="shared" si="6"/>
        <v>0.10650697891920077</v>
      </c>
      <c r="L13" s="15">
        <f t="shared" si="7"/>
        <v>0.78698604216159851</v>
      </c>
      <c r="M13" s="15">
        <f t="shared" si="8"/>
        <v>0.10650697891920077</v>
      </c>
    </row>
    <row r="14" spans="1:20" x14ac:dyDescent="0.25">
      <c r="A14" s="2">
        <v>2</v>
      </c>
      <c r="B14" s="2">
        <v>1</v>
      </c>
      <c r="C14" s="2" t="s">
        <v>94</v>
      </c>
      <c r="D14" s="22">
        <v>10</v>
      </c>
      <c r="E14" s="2">
        <f t="shared" si="0"/>
        <v>9</v>
      </c>
      <c r="F14" s="2">
        <f t="shared" si="1"/>
        <v>10</v>
      </c>
      <c r="G14" s="2" t="str">
        <f t="shared" si="2"/>
        <v/>
      </c>
      <c r="H14" s="16">
        <f t="shared" si="3"/>
        <v>0.10798193302637613</v>
      </c>
      <c r="I14" s="16">
        <f t="shared" si="4"/>
        <v>0.79788456080286541</v>
      </c>
      <c r="J14" s="16" t="str">
        <f t="shared" si="5"/>
        <v/>
      </c>
      <c r="K14" s="16">
        <f t="shared" si="6"/>
        <v>0.11920292202211756</v>
      </c>
      <c r="L14" s="16">
        <f t="shared" si="7"/>
        <v>0.88079707797788243</v>
      </c>
      <c r="M14" s="16" t="str">
        <f t="shared" si="8"/>
        <v/>
      </c>
    </row>
    <row r="15" spans="1:20" x14ac:dyDescent="0.25">
      <c r="A15" s="2">
        <v>2</v>
      </c>
      <c r="B15" s="2">
        <v>2</v>
      </c>
      <c r="C15" s="2" t="s">
        <v>94</v>
      </c>
      <c r="D15" s="22">
        <v>10</v>
      </c>
      <c r="E15" s="2">
        <f t="shared" si="0"/>
        <v>9</v>
      </c>
      <c r="F15" s="2">
        <f t="shared" si="1"/>
        <v>10</v>
      </c>
      <c r="G15" s="2" t="str">
        <f t="shared" si="2"/>
        <v/>
      </c>
      <c r="H15" s="16">
        <f t="shared" si="3"/>
        <v>0.10798193302637613</v>
      </c>
      <c r="I15" s="16">
        <f t="shared" si="4"/>
        <v>0.79788456080286541</v>
      </c>
      <c r="J15" s="16" t="str">
        <f t="shared" si="5"/>
        <v/>
      </c>
      <c r="K15" s="16">
        <f t="shared" si="6"/>
        <v>0.11920292202211756</v>
      </c>
      <c r="L15" s="16">
        <f t="shared" si="7"/>
        <v>0.88079707797788243</v>
      </c>
      <c r="M15" s="16" t="str">
        <f t="shared" si="8"/>
        <v/>
      </c>
    </row>
    <row r="16" spans="1:20" x14ac:dyDescent="0.25">
      <c r="A16" s="2">
        <v>2</v>
      </c>
      <c r="B16" s="2">
        <v>3</v>
      </c>
      <c r="C16" s="2" t="s">
        <v>94</v>
      </c>
      <c r="D16" s="22">
        <v>8</v>
      </c>
      <c r="E16" s="2">
        <f t="shared" si="0"/>
        <v>7</v>
      </c>
      <c r="F16" s="2">
        <f t="shared" si="1"/>
        <v>8</v>
      </c>
      <c r="G16" s="2">
        <f t="shared" si="2"/>
        <v>9</v>
      </c>
      <c r="H16" s="16">
        <f t="shared" si="3"/>
        <v>0.10798193302637613</v>
      </c>
      <c r="I16" s="16">
        <f t="shared" si="4"/>
        <v>0.79788456080286541</v>
      </c>
      <c r="J16" s="16">
        <f t="shared" si="5"/>
        <v>0.10798193302637613</v>
      </c>
      <c r="K16" s="16">
        <f t="shared" si="6"/>
        <v>0.10650697891920077</v>
      </c>
      <c r="L16" s="16">
        <f t="shared" si="7"/>
        <v>0.78698604216159851</v>
      </c>
      <c r="M16" s="16">
        <f t="shared" si="8"/>
        <v>0.10650697891920077</v>
      </c>
    </row>
    <row r="17" spans="1:14" x14ac:dyDescent="0.25">
      <c r="A17" s="17">
        <v>2</v>
      </c>
      <c r="B17" s="17">
        <v>1</v>
      </c>
      <c r="C17" s="17" t="s">
        <v>95</v>
      </c>
      <c r="D17" s="21">
        <v>3</v>
      </c>
      <c r="E17" s="17">
        <f t="shared" si="0"/>
        <v>2</v>
      </c>
      <c r="F17" s="17">
        <f t="shared" si="1"/>
        <v>3</v>
      </c>
      <c r="G17" s="17">
        <f t="shared" si="2"/>
        <v>4</v>
      </c>
      <c r="H17" s="15">
        <f t="shared" si="3"/>
        <v>0.10798193302637613</v>
      </c>
      <c r="I17" s="15">
        <f t="shared" si="4"/>
        <v>0.79788456080286541</v>
      </c>
      <c r="J17" s="15">
        <f t="shared" si="5"/>
        <v>0.10798193302637613</v>
      </c>
      <c r="K17" s="15">
        <f t="shared" si="6"/>
        <v>0.10650697891920077</v>
      </c>
      <c r="L17" s="15">
        <f t="shared" si="7"/>
        <v>0.78698604216159851</v>
      </c>
      <c r="M17" s="15">
        <f t="shared" si="8"/>
        <v>0.10650697891920077</v>
      </c>
    </row>
    <row r="18" spans="1:14" x14ac:dyDescent="0.25">
      <c r="A18" s="17">
        <v>2</v>
      </c>
      <c r="B18" s="17">
        <v>2</v>
      </c>
      <c r="C18" s="17" t="s">
        <v>95</v>
      </c>
      <c r="D18" s="21">
        <v>4</v>
      </c>
      <c r="E18" s="17">
        <f t="shared" si="0"/>
        <v>3</v>
      </c>
      <c r="F18" s="17">
        <f t="shared" si="1"/>
        <v>4</v>
      </c>
      <c r="G18" s="17">
        <f t="shared" si="2"/>
        <v>5</v>
      </c>
      <c r="H18" s="15">
        <f t="shared" si="3"/>
        <v>0.10798193302637613</v>
      </c>
      <c r="I18" s="15">
        <f t="shared" si="4"/>
        <v>0.79788456080286541</v>
      </c>
      <c r="J18" s="15">
        <f t="shared" si="5"/>
        <v>0.10798193302637613</v>
      </c>
      <c r="K18" s="15">
        <f t="shared" si="6"/>
        <v>0.10650697891920077</v>
      </c>
      <c r="L18" s="15">
        <f t="shared" si="7"/>
        <v>0.78698604216159851</v>
      </c>
      <c r="M18" s="15">
        <f t="shared" si="8"/>
        <v>0.10650697891920077</v>
      </c>
    </row>
    <row r="19" spans="1:14" x14ac:dyDescent="0.25">
      <c r="A19" s="17">
        <v>2</v>
      </c>
      <c r="B19" s="17">
        <v>3</v>
      </c>
      <c r="C19" s="17" t="s">
        <v>95</v>
      </c>
      <c r="D19" s="21">
        <v>5</v>
      </c>
      <c r="E19" s="17">
        <f t="shared" si="0"/>
        <v>4</v>
      </c>
      <c r="F19" s="17">
        <f t="shared" si="1"/>
        <v>5</v>
      </c>
      <c r="G19" s="17">
        <f t="shared" si="2"/>
        <v>6</v>
      </c>
      <c r="H19" s="15">
        <f t="shared" si="3"/>
        <v>0.10798193302637613</v>
      </c>
      <c r="I19" s="15">
        <f t="shared" si="4"/>
        <v>0.79788456080286541</v>
      </c>
      <c r="J19" s="15">
        <f t="shared" si="5"/>
        <v>0.10798193302637613</v>
      </c>
      <c r="K19" s="15">
        <f t="shared" si="6"/>
        <v>0.10650697891920077</v>
      </c>
      <c r="L19" s="15">
        <f t="shared" si="7"/>
        <v>0.78698604216159851</v>
      </c>
      <c r="M19" s="15">
        <f t="shared" si="8"/>
        <v>0.10650697891920077</v>
      </c>
    </row>
    <row r="20" spans="1:14" x14ac:dyDescent="0.25">
      <c r="A20" s="2">
        <v>2</v>
      </c>
      <c r="B20" s="2">
        <v>1</v>
      </c>
      <c r="C20" s="2" t="s">
        <v>96</v>
      </c>
      <c r="D20" s="22">
        <v>7</v>
      </c>
      <c r="E20" s="2">
        <f t="shared" si="0"/>
        <v>6</v>
      </c>
      <c r="F20" s="2">
        <f t="shared" si="1"/>
        <v>7</v>
      </c>
      <c r="G20" s="2">
        <f t="shared" si="2"/>
        <v>8</v>
      </c>
      <c r="H20" s="16">
        <f t="shared" si="3"/>
        <v>0.10798193302637613</v>
      </c>
      <c r="I20" s="16">
        <f t="shared" si="4"/>
        <v>0.79788456080286541</v>
      </c>
      <c r="J20" s="16">
        <f t="shared" si="5"/>
        <v>0.10798193302637613</v>
      </c>
      <c r="K20" s="16">
        <f t="shared" si="6"/>
        <v>0.10650697891920077</v>
      </c>
      <c r="L20" s="16">
        <f t="shared" si="7"/>
        <v>0.78698604216159851</v>
      </c>
      <c r="M20" s="16">
        <f t="shared" si="8"/>
        <v>0.10650697891920077</v>
      </c>
    </row>
    <row r="21" spans="1:14" x14ac:dyDescent="0.25">
      <c r="A21" s="2">
        <v>2</v>
      </c>
      <c r="B21" s="2">
        <v>2</v>
      </c>
      <c r="C21" s="2" t="s">
        <v>96</v>
      </c>
      <c r="D21" s="22">
        <v>9</v>
      </c>
      <c r="E21" s="2">
        <f t="shared" si="0"/>
        <v>8</v>
      </c>
      <c r="F21" s="2">
        <f t="shared" si="1"/>
        <v>9</v>
      </c>
      <c r="G21" s="2">
        <f t="shared" si="2"/>
        <v>10</v>
      </c>
      <c r="H21" s="16">
        <f t="shared" si="3"/>
        <v>0.10798193302637613</v>
      </c>
      <c r="I21" s="16">
        <f t="shared" si="4"/>
        <v>0.79788456080286541</v>
      </c>
      <c r="J21" s="16">
        <f t="shared" si="5"/>
        <v>0.10798193302637613</v>
      </c>
      <c r="K21" s="16">
        <f t="shared" si="6"/>
        <v>0.10650697891920077</v>
      </c>
      <c r="L21" s="16">
        <f t="shared" si="7"/>
        <v>0.78698604216159851</v>
      </c>
      <c r="M21" s="16">
        <f t="shared" si="8"/>
        <v>0.10650697891920077</v>
      </c>
    </row>
    <row r="22" spans="1:14" x14ac:dyDescent="0.25">
      <c r="A22" s="2">
        <v>2</v>
      </c>
      <c r="B22" s="2">
        <v>3</v>
      </c>
      <c r="C22" s="2" t="s">
        <v>96</v>
      </c>
      <c r="D22" s="22">
        <v>6</v>
      </c>
      <c r="E22" s="2">
        <f t="shared" si="0"/>
        <v>5</v>
      </c>
      <c r="F22" s="2">
        <f t="shared" si="1"/>
        <v>6</v>
      </c>
      <c r="G22" s="2">
        <f t="shared" si="2"/>
        <v>7</v>
      </c>
      <c r="H22" s="16">
        <f t="shared" si="3"/>
        <v>0.10798193302637613</v>
      </c>
      <c r="I22" s="16">
        <f t="shared" si="4"/>
        <v>0.79788456080286541</v>
      </c>
      <c r="J22" s="16">
        <f t="shared" si="5"/>
        <v>0.10798193302637613</v>
      </c>
      <c r="K22" s="16">
        <f t="shared" si="6"/>
        <v>0.10650697891920077</v>
      </c>
      <c r="L22" s="16">
        <f t="shared" si="7"/>
        <v>0.78698604216159851</v>
      </c>
      <c r="M22" s="16">
        <f t="shared" si="8"/>
        <v>0.10650697891920077</v>
      </c>
    </row>
    <row r="23" spans="1:14" x14ac:dyDescent="0.25">
      <c r="A23" s="17">
        <v>3</v>
      </c>
      <c r="B23" s="17">
        <v>1</v>
      </c>
      <c r="C23" s="17" t="s">
        <v>94</v>
      </c>
      <c r="D23" s="21">
        <v>10</v>
      </c>
      <c r="E23" s="17">
        <f t="shared" si="0"/>
        <v>9</v>
      </c>
      <c r="F23" s="17">
        <f t="shared" si="1"/>
        <v>10</v>
      </c>
      <c r="G23" s="17" t="str">
        <f t="shared" si="2"/>
        <v/>
      </c>
      <c r="H23" s="15">
        <f t="shared" si="3"/>
        <v>0.10798193302637613</v>
      </c>
      <c r="I23" s="15">
        <f t="shared" si="4"/>
        <v>0.79788456080286541</v>
      </c>
      <c r="J23" s="15" t="str">
        <f t="shared" si="5"/>
        <v/>
      </c>
      <c r="K23" s="15">
        <f t="shared" si="6"/>
        <v>0.11920292202211756</v>
      </c>
      <c r="L23" s="15">
        <f t="shared" si="7"/>
        <v>0.88079707797788243</v>
      </c>
      <c r="M23" s="15" t="str">
        <f t="shared" si="8"/>
        <v/>
      </c>
    </row>
    <row r="24" spans="1:14" x14ac:dyDescent="0.25">
      <c r="A24" s="17">
        <v>3</v>
      </c>
      <c r="B24" s="17">
        <v>2</v>
      </c>
      <c r="C24" s="17" t="s">
        <v>94</v>
      </c>
      <c r="D24" s="21">
        <v>8</v>
      </c>
      <c r="E24" s="17">
        <f t="shared" si="0"/>
        <v>7</v>
      </c>
      <c r="F24" s="17">
        <f t="shared" si="1"/>
        <v>8</v>
      </c>
      <c r="G24" s="17">
        <f t="shared" si="2"/>
        <v>9</v>
      </c>
      <c r="H24" s="15">
        <f t="shared" si="3"/>
        <v>0.10798193302637613</v>
      </c>
      <c r="I24" s="15">
        <f t="shared" si="4"/>
        <v>0.79788456080286541</v>
      </c>
      <c r="J24" s="15">
        <f t="shared" si="5"/>
        <v>0.10798193302637613</v>
      </c>
      <c r="K24" s="15">
        <f t="shared" si="6"/>
        <v>0.10650697891920077</v>
      </c>
      <c r="L24" s="15">
        <f t="shared" si="7"/>
        <v>0.78698604216159851</v>
      </c>
      <c r="M24" s="15">
        <f t="shared" si="8"/>
        <v>0.10650697891920077</v>
      </c>
    </row>
    <row r="25" spans="1:14" x14ac:dyDescent="0.25">
      <c r="A25" s="17">
        <v>3</v>
      </c>
      <c r="B25" s="17">
        <v>3</v>
      </c>
      <c r="C25" s="17" t="s">
        <v>94</v>
      </c>
      <c r="D25" s="21">
        <v>8</v>
      </c>
      <c r="E25" s="17">
        <f t="shared" si="0"/>
        <v>7</v>
      </c>
      <c r="F25" s="17">
        <f t="shared" si="1"/>
        <v>8</v>
      </c>
      <c r="G25" s="17">
        <f t="shared" si="2"/>
        <v>9</v>
      </c>
      <c r="H25" s="15">
        <f t="shared" si="3"/>
        <v>0.10798193302637613</v>
      </c>
      <c r="I25" s="15">
        <f t="shared" si="4"/>
        <v>0.79788456080286541</v>
      </c>
      <c r="J25" s="15">
        <f t="shared" si="5"/>
        <v>0.10798193302637613</v>
      </c>
      <c r="K25" s="15">
        <f t="shared" si="6"/>
        <v>0.10650697891920077</v>
      </c>
      <c r="L25" s="15">
        <f t="shared" si="7"/>
        <v>0.78698604216159851</v>
      </c>
      <c r="M25" s="15">
        <f t="shared" si="8"/>
        <v>0.10650697891920077</v>
      </c>
    </row>
    <row r="26" spans="1:14" x14ac:dyDescent="0.25">
      <c r="A26" s="2">
        <v>3</v>
      </c>
      <c r="B26" s="2">
        <v>1</v>
      </c>
      <c r="C26" s="2" t="s">
        <v>95</v>
      </c>
      <c r="D26" s="22">
        <v>5</v>
      </c>
      <c r="E26" s="2">
        <f t="shared" si="0"/>
        <v>4</v>
      </c>
      <c r="F26" s="2">
        <f t="shared" si="1"/>
        <v>5</v>
      </c>
      <c r="G26" s="2">
        <f t="shared" si="2"/>
        <v>6</v>
      </c>
      <c r="H26" s="16">
        <f t="shared" si="3"/>
        <v>0.10798193302637613</v>
      </c>
      <c r="I26" s="16">
        <f t="shared" si="4"/>
        <v>0.79788456080286541</v>
      </c>
      <c r="J26" s="16">
        <f t="shared" si="5"/>
        <v>0.10798193302637613</v>
      </c>
      <c r="K26" s="16">
        <f t="shared" si="6"/>
        <v>0.10650697891920077</v>
      </c>
      <c r="L26" s="16">
        <f t="shared" si="7"/>
        <v>0.78698604216159851</v>
      </c>
      <c r="M26" s="16">
        <f t="shared" si="8"/>
        <v>0.10650697891920077</v>
      </c>
    </row>
    <row r="27" spans="1:14" x14ac:dyDescent="0.25">
      <c r="A27" s="2">
        <v>3</v>
      </c>
      <c r="B27" s="2">
        <v>2</v>
      </c>
      <c r="C27" s="2" t="s">
        <v>95</v>
      </c>
      <c r="D27" s="22">
        <v>6</v>
      </c>
      <c r="E27" s="2">
        <f t="shared" si="0"/>
        <v>5</v>
      </c>
      <c r="F27" s="2">
        <f t="shared" si="1"/>
        <v>6</v>
      </c>
      <c r="G27" s="2">
        <f t="shared" si="2"/>
        <v>7</v>
      </c>
      <c r="H27" s="16">
        <f t="shared" si="3"/>
        <v>0.10798193302637613</v>
      </c>
      <c r="I27" s="16">
        <f t="shared" si="4"/>
        <v>0.79788456080286541</v>
      </c>
      <c r="J27" s="16">
        <f t="shared" si="5"/>
        <v>0.10798193302637613</v>
      </c>
      <c r="K27" s="16">
        <f t="shared" si="6"/>
        <v>0.10650697891920077</v>
      </c>
      <c r="L27" s="16">
        <f t="shared" si="7"/>
        <v>0.78698604216159851</v>
      </c>
      <c r="M27" s="16">
        <f t="shared" si="8"/>
        <v>0.10650697891920077</v>
      </c>
    </row>
    <row r="28" spans="1:14" x14ac:dyDescent="0.25">
      <c r="A28" s="2">
        <v>3</v>
      </c>
      <c r="B28" s="2">
        <v>3</v>
      </c>
      <c r="C28" s="2" t="s">
        <v>95</v>
      </c>
      <c r="D28" s="22">
        <v>6</v>
      </c>
      <c r="E28" s="2">
        <f t="shared" si="0"/>
        <v>5</v>
      </c>
      <c r="F28" s="2">
        <f t="shared" si="1"/>
        <v>6</v>
      </c>
      <c r="G28" s="2">
        <f t="shared" si="2"/>
        <v>7</v>
      </c>
      <c r="H28" s="16">
        <f t="shared" si="3"/>
        <v>0.10798193302637613</v>
      </c>
      <c r="I28" s="16">
        <f t="shared" si="4"/>
        <v>0.79788456080286541</v>
      </c>
      <c r="J28" s="16">
        <f t="shared" si="5"/>
        <v>0.10798193302637613</v>
      </c>
      <c r="K28" s="16">
        <f t="shared" si="6"/>
        <v>0.10650697891920077</v>
      </c>
      <c r="L28" s="16">
        <f t="shared" si="7"/>
        <v>0.78698604216159851</v>
      </c>
      <c r="M28" s="16">
        <f t="shared" si="8"/>
        <v>0.10650697891920077</v>
      </c>
    </row>
    <row r="29" spans="1:14" x14ac:dyDescent="0.25">
      <c r="A29" s="18">
        <v>3</v>
      </c>
      <c r="B29" s="18">
        <v>1</v>
      </c>
      <c r="C29" s="18" t="s">
        <v>96</v>
      </c>
      <c r="D29" s="23">
        <v>8</v>
      </c>
      <c r="E29" s="18">
        <f t="shared" si="0"/>
        <v>7</v>
      </c>
      <c r="F29" s="18">
        <f t="shared" si="1"/>
        <v>8</v>
      </c>
      <c r="G29" s="18">
        <f t="shared" si="2"/>
        <v>9</v>
      </c>
      <c r="H29" s="19">
        <f t="shared" si="3"/>
        <v>0.10798193302637613</v>
      </c>
      <c r="I29" s="19">
        <f t="shared" si="4"/>
        <v>0.79788456080286541</v>
      </c>
      <c r="J29" s="19">
        <f t="shared" si="5"/>
        <v>0.10798193302637613</v>
      </c>
      <c r="K29" s="19">
        <f t="shared" si="6"/>
        <v>0.10650697891920077</v>
      </c>
      <c r="L29" s="19">
        <f t="shared" si="7"/>
        <v>0.78698604216159851</v>
      </c>
      <c r="M29" s="19">
        <f t="shared" si="8"/>
        <v>0.10650697891920077</v>
      </c>
      <c r="N29" s="20" t="s">
        <v>105</v>
      </c>
    </row>
    <row r="30" spans="1:14" x14ac:dyDescent="0.25">
      <c r="A30" s="17">
        <v>3</v>
      </c>
      <c r="B30" s="17">
        <v>2</v>
      </c>
      <c r="C30" s="17" t="s">
        <v>96</v>
      </c>
      <c r="D30" s="21">
        <v>5</v>
      </c>
      <c r="E30" s="17">
        <f t="shared" si="0"/>
        <v>4</v>
      </c>
      <c r="F30" s="17">
        <f t="shared" si="1"/>
        <v>5</v>
      </c>
      <c r="G30" s="17">
        <f t="shared" si="2"/>
        <v>6</v>
      </c>
      <c r="H30" s="15">
        <f t="shared" si="3"/>
        <v>0.10798193302637613</v>
      </c>
      <c r="I30" s="15">
        <f t="shared" si="4"/>
        <v>0.79788456080286541</v>
      </c>
      <c r="J30" s="15">
        <f t="shared" si="5"/>
        <v>0.10798193302637613</v>
      </c>
      <c r="K30" s="15">
        <f t="shared" si="6"/>
        <v>0.10650697891920077</v>
      </c>
      <c r="L30" s="15">
        <f t="shared" si="7"/>
        <v>0.78698604216159851</v>
      </c>
      <c r="M30" s="15">
        <f t="shared" si="8"/>
        <v>0.10650697891920077</v>
      </c>
    </row>
    <row r="31" spans="1:14" x14ac:dyDescent="0.25">
      <c r="A31" s="17">
        <v>3</v>
      </c>
      <c r="B31" s="17">
        <v>3</v>
      </c>
      <c r="C31" s="17" t="s">
        <v>96</v>
      </c>
      <c r="D31" s="21">
        <v>4</v>
      </c>
      <c r="E31" s="17">
        <f t="shared" si="0"/>
        <v>3</v>
      </c>
      <c r="F31" s="17">
        <f t="shared" si="1"/>
        <v>4</v>
      </c>
      <c r="G31" s="17">
        <f t="shared" si="2"/>
        <v>5</v>
      </c>
      <c r="H31" s="15">
        <f t="shared" si="3"/>
        <v>0.10798193302637613</v>
      </c>
      <c r="I31" s="15">
        <f t="shared" si="4"/>
        <v>0.79788456080286541</v>
      </c>
      <c r="J31" s="15">
        <f t="shared" si="5"/>
        <v>0.10798193302637613</v>
      </c>
      <c r="K31" s="15">
        <f t="shared" si="6"/>
        <v>0.10650697891920077</v>
      </c>
      <c r="L31" s="15">
        <f t="shared" si="7"/>
        <v>0.78698604216159851</v>
      </c>
      <c r="M31" s="15">
        <f t="shared" si="8"/>
        <v>0.10650697891920077</v>
      </c>
    </row>
    <row r="32" spans="1:14" x14ac:dyDescent="0.25">
      <c r="A32" s="2">
        <v>4</v>
      </c>
      <c r="B32" s="2">
        <v>1</v>
      </c>
      <c r="C32" s="2" t="s">
        <v>94</v>
      </c>
      <c r="D32" s="22">
        <v>10</v>
      </c>
      <c r="E32" s="2">
        <f t="shared" si="0"/>
        <v>9</v>
      </c>
      <c r="F32" s="2">
        <f t="shared" si="1"/>
        <v>10</v>
      </c>
      <c r="G32" s="2" t="str">
        <f t="shared" si="2"/>
        <v/>
      </c>
      <c r="H32" s="16">
        <f t="shared" si="3"/>
        <v>0.10798193302637613</v>
      </c>
      <c r="I32" s="16">
        <f t="shared" si="4"/>
        <v>0.79788456080286541</v>
      </c>
      <c r="J32" s="16" t="str">
        <f t="shared" si="5"/>
        <v/>
      </c>
      <c r="K32" s="16">
        <f t="shared" si="6"/>
        <v>0.11920292202211756</v>
      </c>
      <c r="L32" s="16">
        <f t="shared" si="7"/>
        <v>0.88079707797788243</v>
      </c>
      <c r="M32" s="16" t="str">
        <f t="shared" si="8"/>
        <v/>
      </c>
    </row>
    <row r="33" spans="1:14" x14ac:dyDescent="0.25">
      <c r="A33" s="2">
        <v>4</v>
      </c>
      <c r="B33" s="2">
        <v>2</v>
      </c>
      <c r="C33" s="2" t="s">
        <v>94</v>
      </c>
      <c r="D33" s="22">
        <v>8</v>
      </c>
      <c r="E33" s="2">
        <f t="shared" si="0"/>
        <v>7</v>
      </c>
      <c r="F33" s="2">
        <f t="shared" si="1"/>
        <v>8</v>
      </c>
      <c r="G33" s="2">
        <f t="shared" si="2"/>
        <v>9</v>
      </c>
      <c r="H33" s="16">
        <f t="shared" si="3"/>
        <v>0.10798193302637613</v>
      </c>
      <c r="I33" s="16">
        <f t="shared" si="4"/>
        <v>0.79788456080286541</v>
      </c>
      <c r="J33" s="16">
        <f t="shared" si="5"/>
        <v>0.10798193302637613</v>
      </c>
      <c r="K33" s="16">
        <f t="shared" si="6"/>
        <v>0.10650697891920077</v>
      </c>
      <c r="L33" s="16">
        <f t="shared" si="7"/>
        <v>0.78698604216159851</v>
      </c>
      <c r="M33" s="16">
        <f t="shared" si="8"/>
        <v>0.10650697891920077</v>
      </c>
    </row>
    <row r="34" spans="1:14" x14ac:dyDescent="0.25">
      <c r="A34" s="2">
        <v>4</v>
      </c>
      <c r="B34" s="2">
        <v>3</v>
      </c>
      <c r="C34" s="2" t="s">
        <v>94</v>
      </c>
      <c r="D34" s="22">
        <v>7</v>
      </c>
      <c r="E34" s="2">
        <f t="shared" si="0"/>
        <v>6</v>
      </c>
      <c r="F34" s="2">
        <f t="shared" si="1"/>
        <v>7</v>
      </c>
      <c r="G34" s="2">
        <f t="shared" si="2"/>
        <v>8</v>
      </c>
      <c r="H34" s="16">
        <f t="shared" si="3"/>
        <v>0.10798193302637613</v>
      </c>
      <c r="I34" s="16">
        <f t="shared" si="4"/>
        <v>0.79788456080286541</v>
      </c>
      <c r="J34" s="16">
        <f t="shared" si="5"/>
        <v>0.10798193302637613</v>
      </c>
      <c r="K34" s="16">
        <f t="shared" si="6"/>
        <v>0.10650697891920077</v>
      </c>
      <c r="L34" s="16">
        <f t="shared" si="7"/>
        <v>0.78698604216159851</v>
      </c>
      <c r="M34" s="16">
        <f t="shared" si="8"/>
        <v>0.10650697891920077</v>
      </c>
    </row>
    <row r="35" spans="1:14" x14ac:dyDescent="0.25">
      <c r="A35" s="18">
        <v>4</v>
      </c>
      <c r="B35" s="18">
        <v>1</v>
      </c>
      <c r="C35" s="18" t="s">
        <v>95</v>
      </c>
      <c r="D35" s="23">
        <v>8</v>
      </c>
      <c r="E35" s="18">
        <f t="shared" si="0"/>
        <v>7</v>
      </c>
      <c r="F35" s="18">
        <f t="shared" si="1"/>
        <v>8</v>
      </c>
      <c r="G35" s="18">
        <f t="shared" si="2"/>
        <v>9</v>
      </c>
      <c r="H35" s="19">
        <f t="shared" si="3"/>
        <v>0.10798193302637613</v>
      </c>
      <c r="I35" s="19">
        <f t="shared" si="4"/>
        <v>0.79788456080286541</v>
      </c>
      <c r="J35" s="19">
        <f t="shared" si="5"/>
        <v>0.10798193302637613</v>
      </c>
      <c r="K35" s="19">
        <f t="shared" si="6"/>
        <v>0.10650697891920077</v>
      </c>
      <c r="L35" s="19">
        <f t="shared" si="7"/>
        <v>0.78698604216159851</v>
      </c>
      <c r="M35" s="19">
        <f t="shared" si="8"/>
        <v>0.10650697891920077</v>
      </c>
      <c r="N35" s="20" t="s">
        <v>105</v>
      </c>
    </row>
    <row r="36" spans="1:14" x14ac:dyDescent="0.25">
      <c r="A36" s="17">
        <v>4</v>
      </c>
      <c r="B36" s="17">
        <v>2</v>
      </c>
      <c r="C36" s="17" t="s">
        <v>95</v>
      </c>
      <c r="D36" s="21">
        <v>5</v>
      </c>
      <c r="E36" s="17">
        <f t="shared" si="0"/>
        <v>4</v>
      </c>
      <c r="F36" s="17">
        <f t="shared" si="1"/>
        <v>5</v>
      </c>
      <c r="G36" s="17">
        <f t="shared" si="2"/>
        <v>6</v>
      </c>
      <c r="H36" s="15">
        <f t="shared" si="3"/>
        <v>0.10798193302637613</v>
      </c>
      <c r="I36" s="15">
        <f t="shared" si="4"/>
        <v>0.79788456080286541</v>
      </c>
      <c r="J36" s="15">
        <f t="shared" si="5"/>
        <v>0.10798193302637613</v>
      </c>
      <c r="K36" s="15">
        <f t="shared" si="6"/>
        <v>0.10650697891920077</v>
      </c>
      <c r="L36" s="15">
        <f t="shared" si="7"/>
        <v>0.78698604216159851</v>
      </c>
      <c r="M36" s="15">
        <f t="shared" si="8"/>
        <v>0.10650697891920077</v>
      </c>
    </row>
    <row r="37" spans="1:14" x14ac:dyDescent="0.25">
      <c r="A37" s="17">
        <v>4</v>
      </c>
      <c r="B37" s="17">
        <v>3</v>
      </c>
      <c r="C37" s="17" t="s">
        <v>95</v>
      </c>
      <c r="D37" s="21">
        <v>5</v>
      </c>
      <c r="E37" s="17">
        <f t="shared" si="0"/>
        <v>4</v>
      </c>
      <c r="F37" s="17">
        <f t="shared" si="1"/>
        <v>5</v>
      </c>
      <c r="G37" s="17">
        <f t="shared" si="2"/>
        <v>6</v>
      </c>
      <c r="H37" s="15">
        <f t="shared" si="3"/>
        <v>0.10798193302637613</v>
      </c>
      <c r="I37" s="15">
        <f t="shared" si="4"/>
        <v>0.79788456080286541</v>
      </c>
      <c r="J37" s="15">
        <f t="shared" si="5"/>
        <v>0.10798193302637613</v>
      </c>
      <c r="K37" s="15">
        <f t="shared" si="6"/>
        <v>0.10650697891920077</v>
      </c>
      <c r="L37" s="15">
        <f t="shared" si="7"/>
        <v>0.78698604216159851</v>
      </c>
      <c r="M37" s="15">
        <f t="shared" si="8"/>
        <v>0.10650697891920077</v>
      </c>
    </row>
    <row r="38" spans="1:14" x14ac:dyDescent="0.25">
      <c r="A38" s="2">
        <v>4</v>
      </c>
      <c r="B38" s="2">
        <v>1</v>
      </c>
      <c r="C38" s="2" t="s">
        <v>96</v>
      </c>
      <c r="D38" s="22">
        <v>10</v>
      </c>
      <c r="E38" s="2">
        <f t="shared" si="0"/>
        <v>9</v>
      </c>
      <c r="F38" s="2">
        <f t="shared" si="1"/>
        <v>10</v>
      </c>
      <c r="G38" s="2" t="str">
        <f t="shared" si="2"/>
        <v/>
      </c>
      <c r="H38" s="16">
        <f t="shared" si="3"/>
        <v>0.10798193302637613</v>
      </c>
      <c r="I38" s="16">
        <f t="shared" si="4"/>
        <v>0.79788456080286541</v>
      </c>
      <c r="J38" s="16" t="str">
        <f t="shared" si="5"/>
        <v/>
      </c>
      <c r="K38" s="16">
        <f t="shared" si="6"/>
        <v>0.11920292202211756</v>
      </c>
      <c r="L38" s="16">
        <f t="shared" si="7"/>
        <v>0.88079707797788243</v>
      </c>
      <c r="M38" s="16" t="str">
        <f t="shared" si="8"/>
        <v/>
      </c>
    </row>
    <row r="39" spans="1:14" x14ac:dyDescent="0.25">
      <c r="A39" s="2">
        <v>4</v>
      </c>
      <c r="B39" s="2">
        <v>2</v>
      </c>
      <c r="C39" s="2" t="s">
        <v>96</v>
      </c>
      <c r="D39" s="22">
        <v>8</v>
      </c>
      <c r="E39" s="2">
        <f t="shared" si="0"/>
        <v>7</v>
      </c>
      <c r="F39" s="2">
        <f t="shared" si="1"/>
        <v>8</v>
      </c>
      <c r="G39" s="2">
        <f t="shared" si="2"/>
        <v>9</v>
      </c>
      <c r="H39" s="16">
        <f t="shared" si="3"/>
        <v>0.10798193302637613</v>
      </c>
      <c r="I39" s="16">
        <f t="shared" si="4"/>
        <v>0.79788456080286541</v>
      </c>
      <c r="J39" s="16">
        <f t="shared" si="5"/>
        <v>0.10798193302637613</v>
      </c>
      <c r="K39" s="16">
        <f t="shared" si="6"/>
        <v>0.10650697891920077</v>
      </c>
      <c r="L39" s="16">
        <f t="shared" si="7"/>
        <v>0.78698604216159851</v>
      </c>
      <c r="M39" s="16">
        <f t="shared" si="8"/>
        <v>0.10650697891920077</v>
      </c>
    </row>
    <row r="40" spans="1:14" x14ac:dyDescent="0.25">
      <c r="A40" s="2">
        <v>4</v>
      </c>
      <c r="B40" s="2">
        <v>3</v>
      </c>
      <c r="C40" s="2" t="s">
        <v>96</v>
      </c>
      <c r="D40" s="22">
        <v>9</v>
      </c>
      <c r="E40" s="2">
        <f t="shared" si="0"/>
        <v>8</v>
      </c>
      <c r="F40" s="2">
        <f t="shared" si="1"/>
        <v>9</v>
      </c>
      <c r="G40" s="2">
        <f t="shared" si="2"/>
        <v>10</v>
      </c>
      <c r="H40" s="16">
        <f t="shared" si="3"/>
        <v>0.10798193302637613</v>
      </c>
      <c r="I40" s="16">
        <f t="shared" si="4"/>
        <v>0.79788456080286541</v>
      </c>
      <c r="J40" s="16">
        <f t="shared" si="5"/>
        <v>0.10798193302637613</v>
      </c>
      <c r="K40" s="16">
        <f t="shared" si="6"/>
        <v>0.10650697891920077</v>
      </c>
      <c r="L40" s="16">
        <f t="shared" si="7"/>
        <v>0.78698604216159851</v>
      </c>
      <c r="M40" s="16">
        <f t="shared" si="8"/>
        <v>0.10650697891920077</v>
      </c>
    </row>
    <row r="41" spans="1:14" x14ac:dyDescent="0.25">
      <c r="A41" s="17">
        <v>5</v>
      </c>
      <c r="B41" s="17">
        <v>1</v>
      </c>
      <c r="C41" s="17" t="s">
        <v>94</v>
      </c>
      <c r="D41" s="21">
        <v>10</v>
      </c>
      <c r="E41" s="17">
        <f t="shared" si="0"/>
        <v>9</v>
      </c>
      <c r="F41" s="17">
        <f t="shared" si="1"/>
        <v>10</v>
      </c>
      <c r="G41" s="17" t="str">
        <f t="shared" si="2"/>
        <v/>
      </c>
      <c r="H41" s="15">
        <f t="shared" si="3"/>
        <v>0.10798193302637613</v>
      </c>
      <c r="I41" s="15">
        <f t="shared" si="4"/>
        <v>0.79788456080286541</v>
      </c>
      <c r="J41" s="15" t="str">
        <f t="shared" si="5"/>
        <v/>
      </c>
      <c r="K41" s="15">
        <f t="shared" si="6"/>
        <v>0.11920292202211756</v>
      </c>
      <c r="L41" s="15">
        <f t="shared" si="7"/>
        <v>0.88079707797788243</v>
      </c>
      <c r="M41" s="15" t="str">
        <f t="shared" si="8"/>
        <v/>
      </c>
    </row>
    <row r="42" spans="1:14" x14ac:dyDescent="0.25">
      <c r="A42" s="18">
        <v>5</v>
      </c>
      <c r="B42" s="18">
        <v>2</v>
      </c>
      <c r="C42" s="18" t="s">
        <v>94</v>
      </c>
      <c r="D42" s="23">
        <v>3</v>
      </c>
      <c r="E42" s="18">
        <f t="shared" si="0"/>
        <v>2</v>
      </c>
      <c r="F42" s="18">
        <f t="shared" si="1"/>
        <v>3</v>
      </c>
      <c r="G42" s="18">
        <f t="shared" si="2"/>
        <v>4</v>
      </c>
      <c r="H42" s="19">
        <f t="shared" si="3"/>
        <v>0.10798193302637613</v>
      </c>
      <c r="I42" s="19">
        <f t="shared" si="4"/>
        <v>0.79788456080286541</v>
      </c>
      <c r="J42" s="19">
        <f t="shared" si="5"/>
        <v>0.10798193302637613</v>
      </c>
      <c r="K42" s="19">
        <f t="shared" si="6"/>
        <v>0.10650697891920077</v>
      </c>
      <c r="L42" s="19">
        <f t="shared" si="7"/>
        <v>0.78698604216159851</v>
      </c>
      <c r="M42" s="19">
        <f t="shared" si="8"/>
        <v>0.10650697891920077</v>
      </c>
      <c r="N42" s="20" t="s">
        <v>105</v>
      </c>
    </row>
    <row r="43" spans="1:14" x14ac:dyDescent="0.25">
      <c r="A43" s="17">
        <v>5</v>
      </c>
      <c r="B43" s="17">
        <v>3</v>
      </c>
      <c r="C43" s="17" t="s">
        <v>94</v>
      </c>
      <c r="D43" s="21">
        <v>9</v>
      </c>
      <c r="E43" s="17">
        <f t="shared" si="0"/>
        <v>8</v>
      </c>
      <c r="F43" s="17">
        <f t="shared" si="1"/>
        <v>9</v>
      </c>
      <c r="G43" s="17">
        <f t="shared" si="2"/>
        <v>10</v>
      </c>
      <c r="H43" s="15">
        <f t="shared" si="3"/>
        <v>0.10798193302637613</v>
      </c>
      <c r="I43" s="15">
        <f t="shared" si="4"/>
        <v>0.79788456080286541</v>
      </c>
      <c r="J43" s="15">
        <f t="shared" si="5"/>
        <v>0.10798193302637613</v>
      </c>
      <c r="K43" s="15">
        <f t="shared" si="6"/>
        <v>0.10650697891920077</v>
      </c>
      <c r="L43" s="15">
        <f t="shared" si="7"/>
        <v>0.78698604216159851</v>
      </c>
      <c r="M43" s="15">
        <f t="shared" si="8"/>
        <v>0.10650697891920077</v>
      </c>
    </row>
    <row r="44" spans="1:14" x14ac:dyDescent="0.25">
      <c r="A44" s="18">
        <v>5</v>
      </c>
      <c r="B44" s="18">
        <v>1</v>
      </c>
      <c r="C44" s="18" t="s">
        <v>95</v>
      </c>
      <c r="D44" s="23">
        <v>10</v>
      </c>
      <c r="E44" s="18">
        <f t="shared" si="0"/>
        <v>9</v>
      </c>
      <c r="F44" s="18">
        <f t="shared" si="1"/>
        <v>10</v>
      </c>
      <c r="G44" s="18" t="str">
        <f t="shared" si="2"/>
        <v/>
      </c>
      <c r="H44" s="19">
        <f t="shared" si="3"/>
        <v>0.10798193302637613</v>
      </c>
      <c r="I44" s="19">
        <f t="shared" si="4"/>
        <v>0.79788456080286541</v>
      </c>
      <c r="J44" s="19" t="str">
        <f t="shared" si="5"/>
        <v/>
      </c>
      <c r="K44" s="19">
        <f t="shared" si="6"/>
        <v>0.11920292202211756</v>
      </c>
      <c r="L44" s="19">
        <f t="shared" si="7"/>
        <v>0.88079707797788243</v>
      </c>
      <c r="M44" s="19" t="str">
        <f t="shared" si="8"/>
        <v/>
      </c>
      <c r="N44" s="20" t="s">
        <v>105</v>
      </c>
    </row>
    <row r="45" spans="1:14" x14ac:dyDescent="0.25">
      <c r="A45" s="2">
        <v>5</v>
      </c>
      <c r="B45" s="2">
        <v>2</v>
      </c>
      <c r="C45" s="2" t="s">
        <v>95</v>
      </c>
      <c r="D45" s="22">
        <v>5</v>
      </c>
      <c r="E45" s="2">
        <f t="shared" si="0"/>
        <v>4</v>
      </c>
      <c r="F45" s="2">
        <f t="shared" si="1"/>
        <v>5</v>
      </c>
      <c r="G45" s="2">
        <f t="shared" si="2"/>
        <v>6</v>
      </c>
      <c r="H45" s="16">
        <f t="shared" si="3"/>
        <v>0.10798193302637613</v>
      </c>
      <c r="I45" s="16">
        <f t="shared" si="4"/>
        <v>0.79788456080286541</v>
      </c>
      <c r="J45" s="16">
        <f t="shared" si="5"/>
        <v>0.10798193302637613</v>
      </c>
      <c r="K45" s="16">
        <f t="shared" si="6"/>
        <v>0.10650697891920077</v>
      </c>
      <c r="L45" s="16">
        <f t="shared" si="7"/>
        <v>0.78698604216159851</v>
      </c>
      <c r="M45" s="16">
        <f t="shared" si="8"/>
        <v>0.10650697891920077</v>
      </c>
    </row>
    <row r="46" spans="1:14" x14ac:dyDescent="0.25">
      <c r="A46" s="2">
        <v>5</v>
      </c>
      <c r="B46" s="2">
        <v>3</v>
      </c>
      <c r="C46" s="2" t="s">
        <v>95</v>
      </c>
      <c r="D46" s="22">
        <v>3</v>
      </c>
      <c r="E46" s="2">
        <f t="shared" si="0"/>
        <v>2</v>
      </c>
      <c r="F46" s="2">
        <f t="shared" si="1"/>
        <v>3</v>
      </c>
      <c r="G46" s="2">
        <f t="shared" si="2"/>
        <v>4</v>
      </c>
      <c r="H46" s="16">
        <f t="shared" si="3"/>
        <v>0.10798193302637613</v>
      </c>
      <c r="I46" s="16">
        <f t="shared" si="4"/>
        <v>0.79788456080286541</v>
      </c>
      <c r="J46" s="16">
        <f t="shared" si="5"/>
        <v>0.10798193302637613</v>
      </c>
      <c r="K46" s="16">
        <f t="shared" si="6"/>
        <v>0.10650697891920077</v>
      </c>
      <c r="L46" s="16">
        <f t="shared" si="7"/>
        <v>0.78698604216159851</v>
      </c>
      <c r="M46" s="16">
        <f t="shared" si="8"/>
        <v>0.10650697891920077</v>
      </c>
    </row>
    <row r="47" spans="1:14" x14ac:dyDescent="0.25">
      <c r="A47" s="17">
        <v>5</v>
      </c>
      <c r="B47" s="17">
        <v>1</v>
      </c>
      <c r="C47" s="17" t="s">
        <v>96</v>
      </c>
      <c r="D47" s="21">
        <v>10</v>
      </c>
      <c r="E47" s="17">
        <f t="shared" si="0"/>
        <v>9</v>
      </c>
      <c r="F47" s="17">
        <f t="shared" si="1"/>
        <v>10</v>
      </c>
      <c r="G47" s="17" t="str">
        <f t="shared" si="2"/>
        <v/>
      </c>
      <c r="H47" s="15">
        <f t="shared" si="3"/>
        <v>0.10798193302637613</v>
      </c>
      <c r="I47" s="15">
        <f t="shared" si="4"/>
        <v>0.79788456080286541</v>
      </c>
      <c r="J47" s="15" t="str">
        <f t="shared" si="5"/>
        <v/>
      </c>
      <c r="K47" s="15">
        <f t="shared" si="6"/>
        <v>0.11920292202211756</v>
      </c>
      <c r="L47" s="15">
        <f t="shared" si="7"/>
        <v>0.88079707797788243</v>
      </c>
      <c r="M47" s="15" t="str">
        <f t="shared" si="8"/>
        <v/>
      </c>
    </row>
    <row r="48" spans="1:14" x14ac:dyDescent="0.25">
      <c r="A48" s="18">
        <v>5</v>
      </c>
      <c r="B48" s="18">
        <v>2</v>
      </c>
      <c r="C48" s="18" t="s">
        <v>96</v>
      </c>
      <c r="D48" s="23">
        <v>5</v>
      </c>
      <c r="E48" s="18">
        <f t="shared" si="0"/>
        <v>4</v>
      </c>
      <c r="F48" s="18">
        <f t="shared" si="1"/>
        <v>5</v>
      </c>
      <c r="G48" s="18">
        <f t="shared" si="2"/>
        <v>6</v>
      </c>
      <c r="H48" s="19">
        <f t="shared" si="3"/>
        <v>0.10798193302637613</v>
      </c>
      <c r="I48" s="19">
        <f t="shared" si="4"/>
        <v>0.79788456080286541</v>
      </c>
      <c r="J48" s="19">
        <f t="shared" si="5"/>
        <v>0.10798193302637613</v>
      </c>
      <c r="K48" s="19">
        <f t="shared" si="6"/>
        <v>0.10650697891920077</v>
      </c>
      <c r="L48" s="19">
        <f t="shared" si="7"/>
        <v>0.78698604216159851</v>
      </c>
      <c r="M48" s="19">
        <f t="shared" si="8"/>
        <v>0.10650697891920077</v>
      </c>
      <c r="N48" s="20" t="s">
        <v>105</v>
      </c>
    </row>
    <row r="49" spans="1:14" x14ac:dyDescent="0.25">
      <c r="A49" s="17">
        <v>5</v>
      </c>
      <c r="B49" s="17">
        <v>3</v>
      </c>
      <c r="C49" s="17" t="s">
        <v>96</v>
      </c>
      <c r="D49" s="21">
        <v>8</v>
      </c>
      <c r="E49" s="17">
        <f t="shared" si="0"/>
        <v>7</v>
      </c>
      <c r="F49" s="17">
        <f t="shared" si="1"/>
        <v>8</v>
      </c>
      <c r="G49" s="17">
        <f t="shared" si="2"/>
        <v>9</v>
      </c>
      <c r="H49" s="15">
        <f t="shared" si="3"/>
        <v>0.10798193302637613</v>
      </c>
      <c r="I49" s="15">
        <f t="shared" si="4"/>
        <v>0.79788456080286541</v>
      </c>
      <c r="J49" s="15">
        <f t="shared" si="5"/>
        <v>0.10798193302637613</v>
      </c>
      <c r="K49" s="15">
        <f t="shared" si="6"/>
        <v>0.10650697891920077</v>
      </c>
      <c r="L49" s="15">
        <f t="shared" si="7"/>
        <v>0.78698604216159851</v>
      </c>
      <c r="M49" s="15">
        <f t="shared" si="8"/>
        <v>0.10650697891920077</v>
      </c>
    </row>
    <row r="50" spans="1:14" x14ac:dyDescent="0.25">
      <c r="A50" s="2">
        <v>6</v>
      </c>
      <c r="B50" s="2">
        <v>1</v>
      </c>
      <c r="C50" s="2" t="s">
        <v>94</v>
      </c>
      <c r="D50" s="22">
        <v>10</v>
      </c>
      <c r="E50" s="2">
        <f t="shared" si="0"/>
        <v>9</v>
      </c>
      <c r="F50" s="2">
        <f t="shared" si="1"/>
        <v>10</v>
      </c>
      <c r="G50" s="2" t="str">
        <f t="shared" si="2"/>
        <v/>
      </c>
      <c r="H50" s="16">
        <f t="shared" si="3"/>
        <v>0.10798193302637613</v>
      </c>
      <c r="I50" s="16">
        <f t="shared" si="4"/>
        <v>0.79788456080286541</v>
      </c>
      <c r="J50" s="16" t="str">
        <f t="shared" si="5"/>
        <v/>
      </c>
      <c r="K50" s="16">
        <f t="shared" si="6"/>
        <v>0.11920292202211756</v>
      </c>
      <c r="L50" s="16">
        <f t="shared" si="7"/>
        <v>0.88079707797788243</v>
      </c>
      <c r="M50" s="16" t="str">
        <f t="shared" si="8"/>
        <v/>
      </c>
    </row>
    <row r="51" spans="1:14" x14ac:dyDescent="0.25">
      <c r="A51" s="2">
        <v>6</v>
      </c>
      <c r="B51" s="2">
        <v>2</v>
      </c>
      <c r="C51" s="2" t="s">
        <v>94</v>
      </c>
      <c r="D51" s="22">
        <v>8</v>
      </c>
      <c r="E51" s="2">
        <f t="shared" si="0"/>
        <v>7</v>
      </c>
      <c r="F51" s="2">
        <f t="shared" si="1"/>
        <v>8</v>
      </c>
      <c r="G51" s="2">
        <f t="shared" si="2"/>
        <v>9</v>
      </c>
      <c r="H51" s="16">
        <f t="shared" si="3"/>
        <v>0.10798193302637613</v>
      </c>
      <c r="I51" s="16">
        <f t="shared" si="4"/>
        <v>0.79788456080286541</v>
      </c>
      <c r="J51" s="16">
        <f t="shared" si="5"/>
        <v>0.10798193302637613</v>
      </c>
      <c r="K51" s="16">
        <f t="shared" si="6"/>
        <v>0.10650697891920077</v>
      </c>
      <c r="L51" s="16">
        <f t="shared" si="7"/>
        <v>0.78698604216159851</v>
      </c>
      <c r="M51" s="16">
        <f t="shared" si="8"/>
        <v>0.10650697891920077</v>
      </c>
    </row>
    <row r="52" spans="1:14" x14ac:dyDescent="0.25">
      <c r="A52" s="2">
        <v>6</v>
      </c>
      <c r="B52" s="2">
        <v>3</v>
      </c>
      <c r="C52" s="2" t="s">
        <v>94</v>
      </c>
      <c r="D52" s="22">
        <v>7</v>
      </c>
      <c r="E52" s="2">
        <f t="shared" si="0"/>
        <v>6</v>
      </c>
      <c r="F52" s="2">
        <f t="shared" si="1"/>
        <v>7</v>
      </c>
      <c r="G52" s="2">
        <f t="shared" si="2"/>
        <v>8</v>
      </c>
      <c r="H52" s="16">
        <f t="shared" si="3"/>
        <v>0.10798193302637613</v>
      </c>
      <c r="I52" s="16">
        <f t="shared" si="4"/>
        <v>0.79788456080286541</v>
      </c>
      <c r="J52" s="16">
        <f t="shared" si="5"/>
        <v>0.10798193302637613</v>
      </c>
      <c r="K52" s="16">
        <f t="shared" si="6"/>
        <v>0.10650697891920077</v>
      </c>
      <c r="L52" s="16">
        <f t="shared" si="7"/>
        <v>0.78698604216159851</v>
      </c>
      <c r="M52" s="16">
        <f t="shared" si="8"/>
        <v>0.10650697891920077</v>
      </c>
    </row>
    <row r="53" spans="1:14" x14ac:dyDescent="0.25">
      <c r="A53" s="17">
        <v>6</v>
      </c>
      <c r="B53" s="17">
        <v>1</v>
      </c>
      <c r="C53" s="17" t="s">
        <v>95</v>
      </c>
      <c r="D53" s="21">
        <v>5</v>
      </c>
      <c r="E53" s="17">
        <f t="shared" si="0"/>
        <v>4</v>
      </c>
      <c r="F53" s="17">
        <f t="shared" si="1"/>
        <v>5</v>
      </c>
      <c r="G53" s="17">
        <f t="shared" si="2"/>
        <v>6</v>
      </c>
      <c r="H53" s="15">
        <f t="shared" si="3"/>
        <v>0.10798193302637613</v>
      </c>
      <c r="I53" s="15">
        <f t="shared" si="4"/>
        <v>0.79788456080286541</v>
      </c>
      <c r="J53" s="15">
        <f t="shared" si="5"/>
        <v>0.10798193302637613</v>
      </c>
      <c r="K53" s="15">
        <f t="shared" si="6"/>
        <v>0.10650697891920077</v>
      </c>
      <c r="L53" s="15">
        <f t="shared" si="7"/>
        <v>0.78698604216159851</v>
      </c>
      <c r="M53" s="15">
        <f t="shared" si="8"/>
        <v>0.10650697891920077</v>
      </c>
    </row>
    <row r="54" spans="1:14" x14ac:dyDescent="0.25">
      <c r="A54" s="17">
        <v>6</v>
      </c>
      <c r="B54" s="17">
        <v>2</v>
      </c>
      <c r="C54" s="17" t="s">
        <v>95</v>
      </c>
      <c r="D54" s="21">
        <v>4</v>
      </c>
      <c r="E54" s="17">
        <f t="shared" si="0"/>
        <v>3</v>
      </c>
      <c r="F54" s="17">
        <f t="shared" si="1"/>
        <v>4</v>
      </c>
      <c r="G54" s="17">
        <f t="shared" si="2"/>
        <v>5</v>
      </c>
      <c r="H54" s="15">
        <f t="shared" si="3"/>
        <v>0.10798193302637613</v>
      </c>
      <c r="I54" s="15">
        <f t="shared" si="4"/>
        <v>0.79788456080286541</v>
      </c>
      <c r="J54" s="15">
        <f t="shared" si="5"/>
        <v>0.10798193302637613</v>
      </c>
      <c r="K54" s="15">
        <f t="shared" si="6"/>
        <v>0.10650697891920077</v>
      </c>
      <c r="L54" s="15">
        <f t="shared" si="7"/>
        <v>0.78698604216159851</v>
      </c>
      <c r="M54" s="15">
        <f t="shared" si="8"/>
        <v>0.10650697891920077</v>
      </c>
    </row>
    <row r="55" spans="1:14" x14ac:dyDescent="0.25">
      <c r="A55" s="17">
        <v>6</v>
      </c>
      <c r="B55" s="17">
        <v>3</v>
      </c>
      <c r="C55" s="17" t="s">
        <v>95</v>
      </c>
      <c r="D55" s="21">
        <v>5</v>
      </c>
      <c r="E55" s="17">
        <f t="shared" si="0"/>
        <v>4</v>
      </c>
      <c r="F55" s="17">
        <f t="shared" si="1"/>
        <v>5</v>
      </c>
      <c r="G55" s="17">
        <f t="shared" si="2"/>
        <v>6</v>
      </c>
      <c r="H55" s="15">
        <f t="shared" si="3"/>
        <v>0.10798193302637613</v>
      </c>
      <c r="I55" s="15">
        <f t="shared" si="4"/>
        <v>0.79788456080286541</v>
      </c>
      <c r="J55" s="15">
        <f t="shared" si="5"/>
        <v>0.10798193302637613</v>
      </c>
      <c r="K55" s="15">
        <f t="shared" si="6"/>
        <v>0.10650697891920077</v>
      </c>
      <c r="L55" s="15">
        <f t="shared" si="7"/>
        <v>0.78698604216159851</v>
      </c>
      <c r="M55" s="15">
        <f t="shared" si="8"/>
        <v>0.10650697891920077</v>
      </c>
    </row>
    <row r="56" spans="1:14" x14ac:dyDescent="0.25">
      <c r="A56" s="2">
        <v>6</v>
      </c>
      <c r="B56" s="2">
        <v>1</v>
      </c>
      <c r="C56" s="2" t="s">
        <v>96</v>
      </c>
      <c r="D56" s="22">
        <v>10</v>
      </c>
      <c r="E56" s="2">
        <f t="shared" si="0"/>
        <v>9</v>
      </c>
      <c r="F56" s="2">
        <f t="shared" si="1"/>
        <v>10</v>
      </c>
      <c r="G56" s="2" t="str">
        <f t="shared" si="2"/>
        <v/>
      </c>
      <c r="H56" s="16">
        <f t="shared" si="3"/>
        <v>0.10798193302637613</v>
      </c>
      <c r="I56" s="16">
        <f t="shared" si="4"/>
        <v>0.79788456080286541</v>
      </c>
      <c r="J56" s="16" t="str">
        <f t="shared" si="5"/>
        <v/>
      </c>
      <c r="K56" s="16">
        <f t="shared" si="6"/>
        <v>0.11920292202211756</v>
      </c>
      <c r="L56" s="16">
        <f t="shared" si="7"/>
        <v>0.88079707797788243</v>
      </c>
      <c r="M56" s="16" t="str">
        <f t="shared" si="8"/>
        <v/>
      </c>
    </row>
    <row r="57" spans="1:14" x14ac:dyDescent="0.25">
      <c r="A57" s="2">
        <v>6</v>
      </c>
      <c r="B57" s="2">
        <v>2</v>
      </c>
      <c r="C57" s="2" t="s">
        <v>96</v>
      </c>
      <c r="D57" s="22">
        <v>8</v>
      </c>
      <c r="E57" s="2">
        <f t="shared" si="0"/>
        <v>7</v>
      </c>
      <c r="F57" s="2">
        <f t="shared" si="1"/>
        <v>8</v>
      </c>
      <c r="G57" s="2">
        <f t="shared" si="2"/>
        <v>9</v>
      </c>
      <c r="H57" s="16">
        <f t="shared" si="3"/>
        <v>0.10798193302637613</v>
      </c>
      <c r="I57" s="16">
        <f t="shared" si="4"/>
        <v>0.79788456080286541</v>
      </c>
      <c r="J57" s="16">
        <f t="shared" si="5"/>
        <v>0.10798193302637613</v>
      </c>
      <c r="K57" s="16">
        <f t="shared" si="6"/>
        <v>0.10650697891920077</v>
      </c>
      <c r="L57" s="16">
        <f t="shared" si="7"/>
        <v>0.78698604216159851</v>
      </c>
      <c r="M57" s="16">
        <f t="shared" si="8"/>
        <v>0.10650697891920077</v>
      </c>
    </row>
    <row r="58" spans="1:14" x14ac:dyDescent="0.25">
      <c r="A58" s="2">
        <v>6</v>
      </c>
      <c r="B58" s="2">
        <v>3</v>
      </c>
      <c r="C58" s="2" t="s">
        <v>96</v>
      </c>
      <c r="D58" s="22">
        <v>6</v>
      </c>
      <c r="E58" s="2">
        <f t="shared" si="0"/>
        <v>5</v>
      </c>
      <c r="F58" s="2">
        <f t="shared" si="1"/>
        <v>6</v>
      </c>
      <c r="G58" s="2">
        <f t="shared" si="2"/>
        <v>7</v>
      </c>
      <c r="H58" s="16">
        <f t="shared" si="3"/>
        <v>0.10798193302637613</v>
      </c>
      <c r="I58" s="16">
        <f t="shared" si="4"/>
        <v>0.79788456080286541</v>
      </c>
      <c r="J58" s="16">
        <f t="shared" si="5"/>
        <v>0.10798193302637613</v>
      </c>
      <c r="K58" s="16">
        <f t="shared" si="6"/>
        <v>0.10650697891920077</v>
      </c>
      <c r="L58" s="16">
        <f t="shared" si="7"/>
        <v>0.78698604216159851</v>
      </c>
      <c r="M58" s="16">
        <f t="shared" si="8"/>
        <v>0.10650697891920077</v>
      </c>
    </row>
    <row r="59" spans="1:14" x14ac:dyDescent="0.25">
      <c r="A59" s="17">
        <v>7</v>
      </c>
      <c r="B59" s="17">
        <v>1</v>
      </c>
      <c r="C59" s="17" t="s">
        <v>94</v>
      </c>
      <c r="D59" s="21">
        <v>10</v>
      </c>
      <c r="E59" s="17">
        <f t="shared" si="0"/>
        <v>9</v>
      </c>
      <c r="F59" s="17">
        <f t="shared" si="1"/>
        <v>10</v>
      </c>
      <c r="G59" s="17" t="str">
        <f t="shared" si="2"/>
        <v/>
      </c>
      <c r="H59" s="15">
        <f t="shared" si="3"/>
        <v>0.10798193302637613</v>
      </c>
      <c r="I59" s="15">
        <f t="shared" si="4"/>
        <v>0.79788456080286541</v>
      </c>
      <c r="J59" s="15" t="str">
        <f t="shared" si="5"/>
        <v/>
      </c>
      <c r="K59" s="15">
        <f t="shared" si="6"/>
        <v>0.11920292202211756</v>
      </c>
      <c r="L59" s="15">
        <f t="shared" si="7"/>
        <v>0.88079707797788243</v>
      </c>
      <c r="M59" s="15" t="str">
        <f t="shared" si="8"/>
        <v/>
      </c>
    </row>
    <row r="60" spans="1:14" x14ac:dyDescent="0.25">
      <c r="A60" s="17">
        <v>7</v>
      </c>
      <c r="B60" s="17">
        <v>2</v>
      </c>
      <c r="C60" s="17" t="s">
        <v>94</v>
      </c>
      <c r="D60" s="21">
        <v>9</v>
      </c>
      <c r="E60" s="17">
        <f t="shared" si="0"/>
        <v>8</v>
      </c>
      <c r="F60" s="17">
        <f t="shared" si="1"/>
        <v>9</v>
      </c>
      <c r="G60" s="17">
        <f t="shared" si="2"/>
        <v>10</v>
      </c>
      <c r="H60" s="15">
        <f t="shared" si="3"/>
        <v>0.10798193302637613</v>
      </c>
      <c r="I60" s="15">
        <f t="shared" si="4"/>
        <v>0.79788456080286541</v>
      </c>
      <c r="J60" s="15">
        <f t="shared" si="5"/>
        <v>0.10798193302637613</v>
      </c>
      <c r="K60" s="15">
        <f t="shared" si="6"/>
        <v>0.10650697891920077</v>
      </c>
      <c r="L60" s="15">
        <f t="shared" si="7"/>
        <v>0.78698604216159851</v>
      </c>
      <c r="M60" s="15">
        <f t="shared" si="8"/>
        <v>0.10650697891920077</v>
      </c>
    </row>
    <row r="61" spans="1:14" x14ac:dyDescent="0.25">
      <c r="A61" s="18">
        <v>7</v>
      </c>
      <c r="B61" s="18">
        <v>3</v>
      </c>
      <c r="C61" s="18" t="s">
        <v>94</v>
      </c>
      <c r="D61" s="23">
        <v>4</v>
      </c>
      <c r="E61" s="18">
        <f t="shared" si="0"/>
        <v>3</v>
      </c>
      <c r="F61" s="18">
        <f t="shared" si="1"/>
        <v>4</v>
      </c>
      <c r="G61" s="18">
        <f t="shared" si="2"/>
        <v>5</v>
      </c>
      <c r="H61" s="19">
        <f t="shared" si="3"/>
        <v>0.10798193302637613</v>
      </c>
      <c r="I61" s="19">
        <f t="shared" si="4"/>
        <v>0.79788456080286541</v>
      </c>
      <c r="J61" s="19">
        <f t="shared" si="5"/>
        <v>0.10798193302637613</v>
      </c>
      <c r="K61" s="19">
        <f t="shared" si="6"/>
        <v>0.10650697891920077</v>
      </c>
      <c r="L61" s="19">
        <f t="shared" si="7"/>
        <v>0.78698604216159851</v>
      </c>
      <c r="M61" s="19">
        <f t="shared" si="8"/>
        <v>0.10650697891920077</v>
      </c>
      <c r="N61" s="20" t="s">
        <v>105</v>
      </c>
    </row>
    <row r="62" spans="1:14" x14ac:dyDescent="0.25">
      <c r="A62" s="2">
        <v>7</v>
      </c>
      <c r="B62" s="2">
        <v>1</v>
      </c>
      <c r="C62" s="2" t="s">
        <v>95</v>
      </c>
      <c r="D62" s="22">
        <v>5</v>
      </c>
      <c r="E62" s="2">
        <f t="shared" si="0"/>
        <v>4</v>
      </c>
      <c r="F62" s="2">
        <f t="shared" si="1"/>
        <v>5</v>
      </c>
      <c r="G62" s="2">
        <f t="shared" si="2"/>
        <v>6</v>
      </c>
      <c r="H62" s="16">
        <f t="shared" si="3"/>
        <v>0.10798193302637613</v>
      </c>
      <c r="I62" s="16">
        <f t="shared" si="4"/>
        <v>0.79788456080286541</v>
      </c>
      <c r="J62" s="16">
        <f t="shared" si="5"/>
        <v>0.10798193302637613</v>
      </c>
      <c r="K62" s="16">
        <f t="shared" si="6"/>
        <v>0.10650697891920077</v>
      </c>
      <c r="L62" s="16">
        <f t="shared" si="7"/>
        <v>0.78698604216159851</v>
      </c>
      <c r="M62" s="16">
        <f t="shared" si="8"/>
        <v>0.10650697891920077</v>
      </c>
    </row>
    <row r="63" spans="1:14" x14ac:dyDescent="0.25">
      <c r="A63" s="2">
        <v>7</v>
      </c>
      <c r="B63" s="2">
        <v>2</v>
      </c>
      <c r="C63" s="2" t="s">
        <v>95</v>
      </c>
      <c r="D63" s="22">
        <v>4</v>
      </c>
      <c r="E63" s="2">
        <f t="shared" si="0"/>
        <v>3</v>
      </c>
      <c r="F63" s="2">
        <f t="shared" si="1"/>
        <v>4</v>
      </c>
      <c r="G63" s="2">
        <f t="shared" si="2"/>
        <v>5</v>
      </c>
      <c r="H63" s="16">
        <f t="shared" si="3"/>
        <v>0.10798193302637613</v>
      </c>
      <c r="I63" s="16">
        <f t="shared" si="4"/>
        <v>0.79788456080286541</v>
      </c>
      <c r="J63" s="16">
        <f t="shared" si="5"/>
        <v>0.10798193302637613</v>
      </c>
      <c r="K63" s="16">
        <f t="shared" si="6"/>
        <v>0.10650697891920077</v>
      </c>
      <c r="L63" s="16">
        <f t="shared" si="7"/>
        <v>0.78698604216159851</v>
      </c>
      <c r="M63" s="16">
        <f t="shared" si="8"/>
        <v>0.10650697891920077</v>
      </c>
    </row>
    <row r="64" spans="1:14" x14ac:dyDescent="0.25">
      <c r="A64" s="2">
        <v>7</v>
      </c>
      <c r="B64" s="2">
        <v>3</v>
      </c>
      <c r="C64" s="2" t="s">
        <v>95</v>
      </c>
      <c r="D64" s="22">
        <v>6</v>
      </c>
      <c r="E64" s="2">
        <f t="shared" si="0"/>
        <v>5</v>
      </c>
      <c r="F64" s="2">
        <f t="shared" si="1"/>
        <v>6</v>
      </c>
      <c r="G64" s="2">
        <f t="shared" si="2"/>
        <v>7</v>
      </c>
      <c r="H64" s="16">
        <f t="shared" si="3"/>
        <v>0.10798193302637613</v>
      </c>
      <c r="I64" s="16">
        <f t="shared" si="4"/>
        <v>0.79788456080286541</v>
      </c>
      <c r="J64" s="16">
        <f t="shared" si="5"/>
        <v>0.10798193302637613</v>
      </c>
      <c r="K64" s="16">
        <f t="shared" si="6"/>
        <v>0.10650697891920077</v>
      </c>
      <c r="L64" s="16">
        <f t="shared" si="7"/>
        <v>0.78698604216159851</v>
      </c>
      <c r="M64" s="16">
        <f t="shared" si="8"/>
        <v>0.10650697891920077</v>
      </c>
    </row>
    <row r="65" spans="1:14" x14ac:dyDescent="0.25">
      <c r="A65" s="17">
        <v>7</v>
      </c>
      <c r="B65" s="17">
        <v>1</v>
      </c>
      <c r="C65" s="17" t="s">
        <v>96</v>
      </c>
      <c r="D65" s="21">
        <v>7</v>
      </c>
      <c r="E65" s="17">
        <f t="shared" si="0"/>
        <v>6</v>
      </c>
      <c r="F65" s="17">
        <f t="shared" si="1"/>
        <v>7</v>
      </c>
      <c r="G65" s="17">
        <f t="shared" si="2"/>
        <v>8</v>
      </c>
      <c r="H65" s="15">
        <f t="shared" si="3"/>
        <v>0.10798193302637613</v>
      </c>
      <c r="I65" s="15">
        <f t="shared" si="4"/>
        <v>0.79788456080286541</v>
      </c>
      <c r="J65" s="15">
        <f t="shared" si="5"/>
        <v>0.10798193302637613</v>
      </c>
      <c r="K65" s="15">
        <f t="shared" si="6"/>
        <v>0.10650697891920077</v>
      </c>
      <c r="L65" s="15">
        <f t="shared" si="7"/>
        <v>0.78698604216159851</v>
      </c>
      <c r="M65" s="15">
        <f t="shared" si="8"/>
        <v>0.10650697891920077</v>
      </c>
    </row>
    <row r="66" spans="1:14" x14ac:dyDescent="0.25">
      <c r="A66" s="17">
        <v>7</v>
      </c>
      <c r="B66" s="17">
        <v>2</v>
      </c>
      <c r="C66" s="17" t="s">
        <v>96</v>
      </c>
      <c r="D66" s="21">
        <v>8</v>
      </c>
      <c r="E66" s="17">
        <f t="shared" si="0"/>
        <v>7</v>
      </c>
      <c r="F66" s="17">
        <f t="shared" si="1"/>
        <v>8</v>
      </c>
      <c r="G66" s="17">
        <f t="shared" si="2"/>
        <v>9</v>
      </c>
      <c r="H66" s="15">
        <f t="shared" si="3"/>
        <v>0.10798193302637613</v>
      </c>
      <c r="I66" s="15">
        <f t="shared" si="4"/>
        <v>0.79788456080286541</v>
      </c>
      <c r="J66" s="15">
        <f t="shared" si="5"/>
        <v>0.10798193302637613</v>
      </c>
      <c r="K66" s="15">
        <f t="shared" si="6"/>
        <v>0.10650697891920077</v>
      </c>
      <c r="L66" s="15">
        <f t="shared" si="7"/>
        <v>0.78698604216159851</v>
      </c>
      <c r="M66" s="15">
        <f t="shared" si="8"/>
        <v>0.10650697891920077</v>
      </c>
    </row>
    <row r="67" spans="1:14" x14ac:dyDescent="0.25">
      <c r="A67" s="18">
        <v>7</v>
      </c>
      <c r="B67" s="18">
        <v>3</v>
      </c>
      <c r="C67" s="18" t="s">
        <v>96</v>
      </c>
      <c r="D67" s="23">
        <v>2</v>
      </c>
      <c r="E67" s="18">
        <f t="shared" si="0"/>
        <v>1</v>
      </c>
      <c r="F67" s="18">
        <f t="shared" si="1"/>
        <v>2</v>
      </c>
      <c r="G67" s="18">
        <f t="shared" si="2"/>
        <v>3</v>
      </c>
      <c r="H67" s="19">
        <f t="shared" si="3"/>
        <v>0.10798193302637613</v>
      </c>
      <c r="I67" s="19">
        <f t="shared" si="4"/>
        <v>0.79788456080286541</v>
      </c>
      <c r="J67" s="19">
        <f t="shared" si="5"/>
        <v>0.10798193302637613</v>
      </c>
      <c r="K67" s="19">
        <f t="shared" si="6"/>
        <v>0.10650697891920077</v>
      </c>
      <c r="L67" s="19">
        <f t="shared" si="7"/>
        <v>0.78698604216159851</v>
      </c>
      <c r="M67" s="19">
        <f t="shared" si="8"/>
        <v>0.10650697891920077</v>
      </c>
      <c r="N67" s="20" t="s">
        <v>105</v>
      </c>
    </row>
    <row r="68" spans="1:14" x14ac:dyDescent="0.25">
      <c r="A68" s="2">
        <v>8</v>
      </c>
      <c r="B68" s="2">
        <v>1</v>
      </c>
      <c r="C68" s="2" t="s">
        <v>94</v>
      </c>
      <c r="D68" s="22">
        <v>7</v>
      </c>
      <c r="E68" s="2">
        <f t="shared" si="0"/>
        <v>6</v>
      </c>
      <c r="F68" s="2">
        <f t="shared" si="1"/>
        <v>7</v>
      </c>
      <c r="G68" s="2">
        <f t="shared" si="2"/>
        <v>8</v>
      </c>
      <c r="H68" s="16">
        <f t="shared" si="3"/>
        <v>0.10798193302637613</v>
      </c>
      <c r="I68" s="16">
        <f t="shared" si="4"/>
        <v>0.79788456080286541</v>
      </c>
      <c r="J68" s="16">
        <f t="shared" si="5"/>
        <v>0.10798193302637613</v>
      </c>
      <c r="K68" s="16">
        <f t="shared" si="6"/>
        <v>0.10650697891920077</v>
      </c>
      <c r="L68" s="16">
        <f t="shared" si="7"/>
        <v>0.78698604216159851</v>
      </c>
      <c r="M68" s="16">
        <f t="shared" si="8"/>
        <v>0.10650697891920077</v>
      </c>
    </row>
    <row r="69" spans="1:14" x14ac:dyDescent="0.25">
      <c r="A69" s="2">
        <v>8</v>
      </c>
      <c r="B69" s="2">
        <v>2</v>
      </c>
      <c r="C69" s="2" t="s">
        <v>94</v>
      </c>
      <c r="D69" s="22">
        <v>5</v>
      </c>
      <c r="E69" s="2">
        <f t="shared" si="0"/>
        <v>4</v>
      </c>
      <c r="F69" s="2">
        <f t="shared" si="1"/>
        <v>5</v>
      </c>
      <c r="G69" s="2">
        <f t="shared" si="2"/>
        <v>6</v>
      </c>
      <c r="H69" s="16">
        <f t="shared" si="3"/>
        <v>0.10798193302637613</v>
      </c>
      <c r="I69" s="16">
        <f t="shared" si="4"/>
        <v>0.79788456080286541</v>
      </c>
      <c r="J69" s="16">
        <f t="shared" si="5"/>
        <v>0.10798193302637613</v>
      </c>
      <c r="K69" s="16">
        <f t="shared" si="6"/>
        <v>0.10650697891920077</v>
      </c>
      <c r="L69" s="16">
        <f t="shared" si="7"/>
        <v>0.78698604216159851</v>
      </c>
      <c r="M69" s="16">
        <f t="shared" si="8"/>
        <v>0.10650697891920077</v>
      </c>
    </row>
    <row r="70" spans="1:14" x14ac:dyDescent="0.25">
      <c r="A70" s="2">
        <v>8</v>
      </c>
      <c r="B70" s="2">
        <v>3</v>
      </c>
      <c r="C70" s="2" t="s">
        <v>94</v>
      </c>
      <c r="D70" s="22">
        <v>8</v>
      </c>
      <c r="E70" s="2">
        <f t="shared" ref="E70:E133" si="9">IF(F70-1=0,"",F70-1)</f>
        <v>7</v>
      </c>
      <c r="F70" s="2">
        <f t="shared" ref="F70:F133" si="10">D70</f>
        <v>8</v>
      </c>
      <c r="G70" s="2">
        <f t="shared" ref="G70:G133" si="11">IF(F70+1=11,"",F70+1)</f>
        <v>9</v>
      </c>
      <c r="H70" s="16">
        <f t="shared" ref="H70:H133" si="12">IF(E70&lt;&gt;"",(1/(0.5*SQRT(2*PI()))) * EXP(-((E70 - $D70)^2)/(2*0.5^2)),"")</f>
        <v>0.10798193302637613</v>
      </c>
      <c r="I70" s="16">
        <f t="shared" ref="I70:I133" si="13">(1/(0.5*SQRT(2*PI()))) * EXP(-((F70 - $D70)^2)/(2*0.5^2))</f>
        <v>0.79788456080286541</v>
      </c>
      <c r="J70" s="16">
        <f t="shared" ref="J70:J133" si="14">IF(G70&lt;&gt;"",(1/(0.5*SQRT(2*PI()))) * EXP(-((G70 - $D70)^2)/(2*0.5^2)),"")</f>
        <v>0.10798193302637613</v>
      </c>
      <c r="K70" s="16">
        <f t="shared" ref="K70:K133" si="15">IF(H70&lt;&gt;"",H70/(SUM(H70:J70)),"")</f>
        <v>0.10650697891920077</v>
      </c>
      <c r="L70" s="16">
        <f t="shared" ref="L70:L133" si="16">I70/SUM(H70:J70)</f>
        <v>0.78698604216159851</v>
      </c>
      <c r="M70" s="16">
        <f t="shared" ref="M70:M133" si="17">IF(J70&lt;&gt;"",J70/SUM(H70:J70),"")</f>
        <v>0.10650697891920077</v>
      </c>
    </row>
    <row r="71" spans="1:14" x14ac:dyDescent="0.25">
      <c r="A71" s="18">
        <v>8</v>
      </c>
      <c r="B71" s="18">
        <v>1</v>
      </c>
      <c r="C71" s="18" t="s">
        <v>95</v>
      </c>
      <c r="D71" s="23">
        <v>8</v>
      </c>
      <c r="E71" s="18">
        <f t="shared" si="9"/>
        <v>7</v>
      </c>
      <c r="F71" s="18">
        <f t="shared" si="10"/>
        <v>8</v>
      </c>
      <c r="G71" s="18">
        <f t="shared" si="11"/>
        <v>9</v>
      </c>
      <c r="H71" s="19">
        <f t="shared" si="12"/>
        <v>0.10798193302637613</v>
      </c>
      <c r="I71" s="19">
        <f t="shared" si="13"/>
        <v>0.79788456080286541</v>
      </c>
      <c r="J71" s="19">
        <f t="shared" si="14"/>
        <v>0.10798193302637613</v>
      </c>
      <c r="K71" s="19">
        <f t="shared" si="15"/>
        <v>0.10650697891920077</v>
      </c>
      <c r="L71" s="19">
        <f t="shared" si="16"/>
        <v>0.78698604216159851</v>
      </c>
      <c r="M71" s="19">
        <f t="shared" si="17"/>
        <v>0.10650697891920077</v>
      </c>
      <c r="N71" s="20" t="s">
        <v>105</v>
      </c>
    </row>
    <row r="72" spans="1:14" x14ac:dyDescent="0.25">
      <c r="A72" s="17">
        <v>8</v>
      </c>
      <c r="B72" s="17">
        <v>2</v>
      </c>
      <c r="C72" s="17" t="s">
        <v>95</v>
      </c>
      <c r="D72" s="21">
        <v>3</v>
      </c>
      <c r="E72" s="17">
        <f t="shared" si="9"/>
        <v>2</v>
      </c>
      <c r="F72" s="17">
        <f t="shared" si="10"/>
        <v>3</v>
      </c>
      <c r="G72" s="17">
        <f t="shared" si="11"/>
        <v>4</v>
      </c>
      <c r="H72" s="15">
        <f t="shared" si="12"/>
        <v>0.10798193302637613</v>
      </c>
      <c r="I72" s="15">
        <f t="shared" si="13"/>
        <v>0.79788456080286541</v>
      </c>
      <c r="J72" s="15">
        <f t="shared" si="14"/>
        <v>0.10798193302637613</v>
      </c>
      <c r="K72" s="15">
        <f t="shared" si="15"/>
        <v>0.10650697891920077</v>
      </c>
      <c r="L72" s="15">
        <f t="shared" si="16"/>
        <v>0.78698604216159851</v>
      </c>
      <c r="M72" s="15">
        <f t="shared" si="17"/>
        <v>0.10650697891920077</v>
      </c>
    </row>
    <row r="73" spans="1:14" x14ac:dyDescent="0.25">
      <c r="A73" s="17">
        <v>8</v>
      </c>
      <c r="B73" s="17">
        <v>3</v>
      </c>
      <c r="C73" s="17" t="s">
        <v>95</v>
      </c>
      <c r="D73" s="21">
        <v>4</v>
      </c>
      <c r="E73" s="17">
        <f t="shared" si="9"/>
        <v>3</v>
      </c>
      <c r="F73" s="17">
        <f t="shared" si="10"/>
        <v>4</v>
      </c>
      <c r="G73" s="17">
        <f t="shared" si="11"/>
        <v>5</v>
      </c>
      <c r="H73" s="15">
        <f t="shared" si="12"/>
        <v>0.10798193302637613</v>
      </c>
      <c r="I73" s="15">
        <f t="shared" si="13"/>
        <v>0.79788456080286541</v>
      </c>
      <c r="J73" s="15">
        <f t="shared" si="14"/>
        <v>0.10798193302637613</v>
      </c>
      <c r="K73" s="15">
        <f t="shared" si="15"/>
        <v>0.10650697891920077</v>
      </c>
      <c r="L73" s="15">
        <f t="shared" si="16"/>
        <v>0.78698604216159851</v>
      </c>
      <c r="M73" s="15">
        <f t="shared" si="17"/>
        <v>0.10650697891920077</v>
      </c>
    </row>
    <row r="74" spans="1:14" x14ac:dyDescent="0.25">
      <c r="A74" s="2">
        <v>8</v>
      </c>
      <c r="B74" s="2">
        <v>1</v>
      </c>
      <c r="C74" s="2" t="s">
        <v>96</v>
      </c>
      <c r="D74" s="22">
        <v>6</v>
      </c>
      <c r="E74" s="2">
        <f t="shared" si="9"/>
        <v>5</v>
      </c>
      <c r="F74" s="2">
        <f t="shared" si="10"/>
        <v>6</v>
      </c>
      <c r="G74" s="2">
        <f t="shared" si="11"/>
        <v>7</v>
      </c>
      <c r="H74" s="16">
        <f t="shared" si="12"/>
        <v>0.10798193302637613</v>
      </c>
      <c r="I74" s="16">
        <f t="shared" si="13"/>
        <v>0.79788456080286541</v>
      </c>
      <c r="J74" s="16">
        <f t="shared" si="14"/>
        <v>0.10798193302637613</v>
      </c>
      <c r="K74" s="16">
        <f t="shared" si="15"/>
        <v>0.10650697891920077</v>
      </c>
      <c r="L74" s="16">
        <f t="shared" si="16"/>
        <v>0.78698604216159851</v>
      </c>
      <c r="M74" s="16">
        <f t="shared" si="17"/>
        <v>0.10650697891920077</v>
      </c>
    </row>
    <row r="75" spans="1:14" x14ac:dyDescent="0.25">
      <c r="A75" s="2">
        <v>8</v>
      </c>
      <c r="B75" s="2">
        <v>2</v>
      </c>
      <c r="C75" s="2" t="s">
        <v>96</v>
      </c>
      <c r="D75" s="22">
        <v>6</v>
      </c>
      <c r="E75" s="2">
        <f t="shared" si="9"/>
        <v>5</v>
      </c>
      <c r="F75" s="2">
        <f t="shared" si="10"/>
        <v>6</v>
      </c>
      <c r="G75" s="2">
        <f t="shared" si="11"/>
        <v>7</v>
      </c>
      <c r="H75" s="16">
        <f t="shared" si="12"/>
        <v>0.10798193302637613</v>
      </c>
      <c r="I75" s="16">
        <f t="shared" si="13"/>
        <v>0.79788456080286541</v>
      </c>
      <c r="J75" s="16">
        <f t="shared" si="14"/>
        <v>0.10798193302637613</v>
      </c>
      <c r="K75" s="16">
        <f t="shared" si="15"/>
        <v>0.10650697891920077</v>
      </c>
      <c r="L75" s="16">
        <f t="shared" si="16"/>
        <v>0.78698604216159851</v>
      </c>
      <c r="M75" s="16">
        <f t="shared" si="17"/>
        <v>0.10650697891920077</v>
      </c>
    </row>
    <row r="76" spans="1:14" x14ac:dyDescent="0.25">
      <c r="A76" s="18">
        <v>8</v>
      </c>
      <c r="B76" s="18">
        <v>3</v>
      </c>
      <c r="C76" s="18" t="s">
        <v>96</v>
      </c>
      <c r="D76" s="23">
        <v>9</v>
      </c>
      <c r="E76" s="18">
        <f t="shared" si="9"/>
        <v>8</v>
      </c>
      <c r="F76" s="18">
        <f t="shared" si="10"/>
        <v>9</v>
      </c>
      <c r="G76" s="18">
        <f t="shared" si="11"/>
        <v>10</v>
      </c>
      <c r="H76" s="19">
        <f t="shared" si="12"/>
        <v>0.10798193302637613</v>
      </c>
      <c r="I76" s="19">
        <f t="shared" si="13"/>
        <v>0.79788456080286541</v>
      </c>
      <c r="J76" s="19">
        <f t="shared" si="14"/>
        <v>0.10798193302637613</v>
      </c>
      <c r="K76" s="19">
        <f t="shared" si="15"/>
        <v>0.10650697891920077</v>
      </c>
      <c r="L76" s="19">
        <f t="shared" si="16"/>
        <v>0.78698604216159851</v>
      </c>
      <c r="M76" s="19">
        <f t="shared" si="17"/>
        <v>0.10650697891920077</v>
      </c>
      <c r="N76" s="20" t="s">
        <v>105</v>
      </c>
    </row>
    <row r="77" spans="1:14" x14ac:dyDescent="0.25">
      <c r="A77" s="17">
        <v>9</v>
      </c>
      <c r="B77" s="17">
        <v>1</v>
      </c>
      <c r="C77" s="17" t="s">
        <v>94</v>
      </c>
      <c r="D77" s="21">
        <v>10</v>
      </c>
      <c r="E77" s="17">
        <f t="shared" si="9"/>
        <v>9</v>
      </c>
      <c r="F77" s="17">
        <f t="shared" si="10"/>
        <v>10</v>
      </c>
      <c r="G77" s="17" t="str">
        <f t="shared" si="11"/>
        <v/>
      </c>
      <c r="H77" s="15">
        <f t="shared" si="12"/>
        <v>0.10798193302637613</v>
      </c>
      <c r="I77" s="15">
        <f t="shared" si="13"/>
        <v>0.79788456080286541</v>
      </c>
      <c r="J77" s="15" t="str">
        <f t="shared" si="14"/>
        <v/>
      </c>
      <c r="K77" s="15">
        <f t="shared" si="15"/>
        <v>0.11920292202211756</v>
      </c>
      <c r="L77" s="15">
        <f t="shared" si="16"/>
        <v>0.88079707797788243</v>
      </c>
      <c r="M77" s="15" t="str">
        <f t="shared" si="17"/>
        <v/>
      </c>
    </row>
    <row r="78" spans="1:14" x14ac:dyDescent="0.25">
      <c r="A78" s="17">
        <v>9</v>
      </c>
      <c r="B78" s="17">
        <v>2</v>
      </c>
      <c r="C78" s="17" t="s">
        <v>94</v>
      </c>
      <c r="D78" s="21">
        <v>9</v>
      </c>
      <c r="E78" s="17">
        <f t="shared" si="9"/>
        <v>8</v>
      </c>
      <c r="F78" s="17">
        <f t="shared" si="10"/>
        <v>9</v>
      </c>
      <c r="G78" s="17">
        <f t="shared" si="11"/>
        <v>10</v>
      </c>
      <c r="H78" s="15">
        <f t="shared" si="12"/>
        <v>0.10798193302637613</v>
      </c>
      <c r="I78" s="15">
        <f t="shared" si="13"/>
        <v>0.79788456080286541</v>
      </c>
      <c r="J78" s="15">
        <f t="shared" si="14"/>
        <v>0.10798193302637613</v>
      </c>
      <c r="K78" s="15">
        <f t="shared" si="15"/>
        <v>0.10650697891920077</v>
      </c>
      <c r="L78" s="15">
        <f t="shared" si="16"/>
        <v>0.78698604216159851</v>
      </c>
      <c r="M78" s="15">
        <f t="shared" si="17"/>
        <v>0.10650697891920077</v>
      </c>
    </row>
    <row r="79" spans="1:14" x14ac:dyDescent="0.25">
      <c r="A79" s="17">
        <v>9</v>
      </c>
      <c r="B79" s="17">
        <v>3</v>
      </c>
      <c r="C79" s="17" t="s">
        <v>94</v>
      </c>
      <c r="D79" s="21">
        <v>9</v>
      </c>
      <c r="E79" s="17">
        <f t="shared" si="9"/>
        <v>8</v>
      </c>
      <c r="F79" s="17">
        <f t="shared" si="10"/>
        <v>9</v>
      </c>
      <c r="G79" s="17">
        <f t="shared" si="11"/>
        <v>10</v>
      </c>
      <c r="H79" s="15">
        <f t="shared" si="12"/>
        <v>0.10798193302637613</v>
      </c>
      <c r="I79" s="15">
        <f t="shared" si="13"/>
        <v>0.79788456080286541</v>
      </c>
      <c r="J79" s="15">
        <f t="shared" si="14"/>
        <v>0.10798193302637613</v>
      </c>
      <c r="K79" s="15">
        <f t="shared" si="15"/>
        <v>0.10650697891920077</v>
      </c>
      <c r="L79" s="15">
        <f t="shared" si="16"/>
        <v>0.78698604216159851</v>
      </c>
      <c r="M79" s="15">
        <f t="shared" si="17"/>
        <v>0.10650697891920077</v>
      </c>
    </row>
    <row r="80" spans="1:14" x14ac:dyDescent="0.25">
      <c r="A80" s="2">
        <v>9</v>
      </c>
      <c r="B80" s="2">
        <v>1</v>
      </c>
      <c r="C80" s="2" t="s">
        <v>95</v>
      </c>
      <c r="D80" s="22">
        <v>1</v>
      </c>
      <c r="E80" s="2" t="str">
        <f t="shared" si="9"/>
        <v/>
      </c>
      <c r="F80" s="2">
        <f t="shared" si="10"/>
        <v>1</v>
      </c>
      <c r="G80" s="2">
        <f t="shared" si="11"/>
        <v>2</v>
      </c>
      <c r="H80" s="16" t="str">
        <f t="shared" si="12"/>
        <v/>
      </c>
      <c r="I80" s="16">
        <f t="shared" si="13"/>
        <v>0.79788456080286541</v>
      </c>
      <c r="J80" s="16">
        <f t="shared" si="14"/>
        <v>0.10798193302637613</v>
      </c>
      <c r="K80" s="16" t="str">
        <f t="shared" si="15"/>
        <v/>
      </c>
      <c r="L80" s="16">
        <f t="shared" si="16"/>
        <v>0.88079707797788243</v>
      </c>
      <c r="M80" s="16">
        <f t="shared" si="17"/>
        <v>0.11920292202211756</v>
      </c>
    </row>
    <row r="81" spans="1:14" x14ac:dyDescent="0.25">
      <c r="A81" s="2">
        <v>9</v>
      </c>
      <c r="B81" s="2">
        <v>2</v>
      </c>
      <c r="C81" s="2" t="s">
        <v>95</v>
      </c>
      <c r="D81" s="22">
        <v>1</v>
      </c>
      <c r="E81" s="2" t="str">
        <f t="shared" si="9"/>
        <v/>
      </c>
      <c r="F81" s="2">
        <f t="shared" si="10"/>
        <v>1</v>
      </c>
      <c r="G81" s="2">
        <f t="shared" si="11"/>
        <v>2</v>
      </c>
      <c r="H81" s="16" t="str">
        <f t="shared" si="12"/>
        <v/>
      </c>
      <c r="I81" s="16">
        <f t="shared" si="13"/>
        <v>0.79788456080286541</v>
      </c>
      <c r="J81" s="16">
        <f t="shared" si="14"/>
        <v>0.10798193302637613</v>
      </c>
      <c r="K81" s="16" t="str">
        <f t="shared" si="15"/>
        <v/>
      </c>
      <c r="L81" s="16">
        <f t="shared" si="16"/>
        <v>0.88079707797788243</v>
      </c>
      <c r="M81" s="16">
        <f t="shared" si="17"/>
        <v>0.11920292202211756</v>
      </c>
    </row>
    <row r="82" spans="1:14" x14ac:dyDescent="0.25">
      <c r="A82" s="18">
        <v>9</v>
      </c>
      <c r="B82" s="18">
        <v>3</v>
      </c>
      <c r="C82" s="18" t="s">
        <v>95</v>
      </c>
      <c r="D82" s="23">
        <v>6</v>
      </c>
      <c r="E82" s="18">
        <f t="shared" si="9"/>
        <v>5</v>
      </c>
      <c r="F82" s="18">
        <f t="shared" si="10"/>
        <v>6</v>
      </c>
      <c r="G82" s="18">
        <f t="shared" si="11"/>
        <v>7</v>
      </c>
      <c r="H82" s="19">
        <f t="shared" si="12"/>
        <v>0.10798193302637613</v>
      </c>
      <c r="I82" s="19">
        <f t="shared" si="13"/>
        <v>0.79788456080286541</v>
      </c>
      <c r="J82" s="19">
        <f t="shared" si="14"/>
        <v>0.10798193302637613</v>
      </c>
      <c r="K82" s="19">
        <f t="shared" si="15"/>
        <v>0.10650697891920077</v>
      </c>
      <c r="L82" s="19">
        <f t="shared" si="16"/>
        <v>0.78698604216159851</v>
      </c>
      <c r="M82" s="19">
        <f t="shared" si="17"/>
        <v>0.10650697891920077</v>
      </c>
      <c r="N82" s="20" t="s">
        <v>105</v>
      </c>
    </row>
    <row r="83" spans="1:14" x14ac:dyDescent="0.25">
      <c r="A83" s="17">
        <v>9</v>
      </c>
      <c r="B83" s="17">
        <v>1</v>
      </c>
      <c r="C83" s="17" t="s">
        <v>96</v>
      </c>
      <c r="D83" s="21">
        <v>4</v>
      </c>
      <c r="E83" s="17">
        <f t="shared" si="9"/>
        <v>3</v>
      </c>
      <c r="F83" s="17">
        <f t="shared" si="10"/>
        <v>4</v>
      </c>
      <c r="G83" s="17">
        <f t="shared" si="11"/>
        <v>5</v>
      </c>
      <c r="H83" s="15">
        <f t="shared" si="12"/>
        <v>0.10798193302637613</v>
      </c>
      <c r="I83" s="15">
        <f t="shared" si="13"/>
        <v>0.79788456080286541</v>
      </c>
      <c r="J83" s="15">
        <f t="shared" si="14"/>
        <v>0.10798193302637613</v>
      </c>
      <c r="K83" s="15">
        <f t="shared" si="15"/>
        <v>0.10650697891920077</v>
      </c>
      <c r="L83" s="15">
        <f t="shared" si="16"/>
        <v>0.78698604216159851</v>
      </c>
      <c r="M83" s="15">
        <f t="shared" si="17"/>
        <v>0.10650697891920077</v>
      </c>
    </row>
    <row r="84" spans="1:14" x14ac:dyDescent="0.25">
      <c r="A84" s="17">
        <v>9</v>
      </c>
      <c r="B84" s="17">
        <v>2</v>
      </c>
      <c r="C84" s="17" t="s">
        <v>96</v>
      </c>
      <c r="D84" s="21">
        <v>6</v>
      </c>
      <c r="E84" s="17">
        <f t="shared" si="9"/>
        <v>5</v>
      </c>
      <c r="F84" s="17">
        <f t="shared" si="10"/>
        <v>6</v>
      </c>
      <c r="G84" s="17">
        <f t="shared" si="11"/>
        <v>7</v>
      </c>
      <c r="H84" s="15">
        <f t="shared" si="12"/>
        <v>0.10798193302637613</v>
      </c>
      <c r="I84" s="15">
        <f t="shared" si="13"/>
        <v>0.79788456080286541</v>
      </c>
      <c r="J84" s="15">
        <f t="shared" si="14"/>
        <v>0.10798193302637613</v>
      </c>
      <c r="K84" s="15">
        <f t="shared" si="15"/>
        <v>0.10650697891920077</v>
      </c>
      <c r="L84" s="15">
        <f t="shared" si="16"/>
        <v>0.78698604216159851</v>
      </c>
      <c r="M84" s="15">
        <f t="shared" si="17"/>
        <v>0.10650697891920077</v>
      </c>
    </row>
    <row r="85" spans="1:14" x14ac:dyDescent="0.25">
      <c r="A85" s="17">
        <v>9</v>
      </c>
      <c r="B85" s="17">
        <v>3</v>
      </c>
      <c r="C85" s="17" t="s">
        <v>96</v>
      </c>
      <c r="D85" s="21">
        <v>7</v>
      </c>
      <c r="E85" s="17">
        <f t="shared" si="9"/>
        <v>6</v>
      </c>
      <c r="F85" s="17">
        <f t="shared" si="10"/>
        <v>7</v>
      </c>
      <c r="G85" s="17">
        <f t="shared" si="11"/>
        <v>8</v>
      </c>
      <c r="H85" s="15">
        <f t="shared" si="12"/>
        <v>0.10798193302637613</v>
      </c>
      <c r="I85" s="15">
        <f t="shared" si="13"/>
        <v>0.79788456080286541</v>
      </c>
      <c r="J85" s="15">
        <f t="shared" si="14"/>
        <v>0.10798193302637613</v>
      </c>
      <c r="K85" s="15">
        <f t="shared" si="15"/>
        <v>0.10650697891920077</v>
      </c>
      <c r="L85" s="15">
        <f t="shared" si="16"/>
        <v>0.78698604216159851</v>
      </c>
      <c r="M85" s="15">
        <f t="shared" si="17"/>
        <v>0.10650697891920077</v>
      </c>
    </row>
    <row r="86" spans="1:14" x14ac:dyDescent="0.25">
      <c r="A86" s="2">
        <v>10</v>
      </c>
      <c r="B86" s="2">
        <v>1</v>
      </c>
      <c r="C86" s="2" t="s">
        <v>94</v>
      </c>
      <c r="D86" s="22">
        <v>7</v>
      </c>
      <c r="E86" s="2">
        <f t="shared" si="9"/>
        <v>6</v>
      </c>
      <c r="F86" s="2">
        <f t="shared" si="10"/>
        <v>7</v>
      </c>
      <c r="G86" s="2">
        <f t="shared" si="11"/>
        <v>8</v>
      </c>
      <c r="H86" s="16">
        <f t="shared" si="12"/>
        <v>0.10798193302637613</v>
      </c>
      <c r="I86" s="16">
        <f t="shared" si="13"/>
        <v>0.79788456080286541</v>
      </c>
      <c r="J86" s="16">
        <f t="shared" si="14"/>
        <v>0.10798193302637613</v>
      </c>
      <c r="K86" s="16">
        <f t="shared" si="15"/>
        <v>0.10650697891920077</v>
      </c>
      <c r="L86" s="16">
        <f t="shared" si="16"/>
        <v>0.78698604216159851</v>
      </c>
      <c r="M86" s="16">
        <f t="shared" si="17"/>
        <v>0.10650697891920077</v>
      </c>
    </row>
    <row r="87" spans="1:14" x14ac:dyDescent="0.25">
      <c r="A87" s="2">
        <v>10</v>
      </c>
      <c r="B87" s="2">
        <v>2</v>
      </c>
      <c r="C87" s="2" t="s">
        <v>94</v>
      </c>
      <c r="D87" s="22">
        <v>6</v>
      </c>
      <c r="E87" s="2">
        <f t="shared" si="9"/>
        <v>5</v>
      </c>
      <c r="F87" s="2">
        <f t="shared" si="10"/>
        <v>6</v>
      </c>
      <c r="G87" s="2">
        <f t="shared" si="11"/>
        <v>7</v>
      </c>
      <c r="H87" s="16">
        <f t="shared" si="12"/>
        <v>0.10798193302637613</v>
      </c>
      <c r="I87" s="16">
        <f t="shared" si="13"/>
        <v>0.79788456080286541</v>
      </c>
      <c r="J87" s="16">
        <f t="shared" si="14"/>
        <v>0.10798193302637613</v>
      </c>
      <c r="K87" s="16">
        <f t="shared" si="15"/>
        <v>0.10650697891920077</v>
      </c>
      <c r="L87" s="16">
        <f t="shared" si="16"/>
        <v>0.78698604216159851</v>
      </c>
      <c r="M87" s="16">
        <f t="shared" si="17"/>
        <v>0.10650697891920077</v>
      </c>
    </row>
    <row r="88" spans="1:14" x14ac:dyDescent="0.25">
      <c r="A88" s="2">
        <v>10</v>
      </c>
      <c r="B88" s="2">
        <v>3</v>
      </c>
      <c r="C88" s="2" t="s">
        <v>94</v>
      </c>
      <c r="D88" s="22">
        <v>8</v>
      </c>
      <c r="E88" s="2">
        <f t="shared" si="9"/>
        <v>7</v>
      </c>
      <c r="F88" s="2">
        <f t="shared" si="10"/>
        <v>8</v>
      </c>
      <c r="G88" s="2">
        <f t="shared" si="11"/>
        <v>9</v>
      </c>
      <c r="H88" s="16">
        <f t="shared" si="12"/>
        <v>0.10798193302637613</v>
      </c>
      <c r="I88" s="16">
        <f t="shared" si="13"/>
        <v>0.79788456080286541</v>
      </c>
      <c r="J88" s="16">
        <f t="shared" si="14"/>
        <v>0.10798193302637613</v>
      </c>
      <c r="K88" s="16">
        <f t="shared" si="15"/>
        <v>0.10650697891920077</v>
      </c>
      <c r="L88" s="16">
        <f t="shared" si="16"/>
        <v>0.78698604216159851</v>
      </c>
      <c r="M88" s="16">
        <f t="shared" si="17"/>
        <v>0.10650697891920077</v>
      </c>
    </row>
    <row r="89" spans="1:14" x14ac:dyDescent="0.25">
      <c r="A89" s="17">
        <v>10</v>
      </c>
      <c r="B89" s="17">
        <v>1</v>
      </c>
      <c r="C89" s="17" t="s">
        <v>95</v>
      </c>
      <c r="D89" s="21">
        <v>5</v>
      </c>
      <c r="E89" s="17">
        <f t="shared" si="9"/>
        <v>4</v>
      </c>
      <c r="F89" s="17">
        <f t="shared" si="10"/>
        <v>5</v>
      </c>
      <c r="G89" s="17">
        <f t="shared" si="11"/>
        <v>6</v>
      </c>
      <c r="H89" s="15">
        <f t="shared" si="12"/>
        <v>0.10798193302637613</v>
      </c>
      <c r="I89" s="15">
        <f t="shared" si="13"/>
        <v>0.79788456080286541</v>
      </c>
      <c r="J89" s="15">
        <f t="shared" si="14"/>
        <v>0.10798193302637613</v>
      </c>
      <c r="K89" s="15">
        <f t="shared" si="15"/>
        <v>0.10650697891920077</v>
      </c>
      <c r="L89" s="15">
        <f t="shared" si="16"/>
        <v>0.78698604216159851</v>
      </c>
      <c r="M89" s="15">
        <f t="shared" si="17"/>
        <v>0.10650697891920077</v>
      </c>
    </row>
    <row r="90" spans="1:14" x14ac:dyDescent="0.25">
      <c r="A90" s="17">
        <v>10</v>
      </c>
      <c r="B90" s="17">
        <v>2</v>
      </c>
      <c r="C90" s="17" t="s">
        <v>95</v>
      </c>
      <c r="D90" s="21">
        <v>6</v>
      </c>
      <c r="E90" s="17">
        <f t="shared" si="9"/>
        <v>5</v>
      </c>
      <c r="F90" s="17">
        <f t="shared" si="10"/>
        <v>6</v>
      </c>
      <c r="G90" s="17">
        <f t="shared" si="11"/>
        <v>7</v>
      </c>
      <c r="H90" s="15">
        <f t="shared" si="12"/>
        <v>0.10798193302637613</v>
      </c>
      <c r="I90" s="15">
        <f t="shared" si="13"/>
        <v>0.79788456080286541</v>
      </c>
      <c r="J90" s="15">
        <f t="shared" si="14"/>
        <v>0.10798193302637613</v>
      </c>
      <c r="K90" s="15">
        <f t="shared" si="15"/>
        <v>0.10650697891920077</v>
      </c>
      <c r="L90" s="15">
        <f t="shared" si="16"/>
        <v>0.78698604216159851</v>
      </c>
      <c r="M90" s="15">
        <f t="shared" si="17"/>
        <v>0.10650697891920077</v>
      </c>
    </row>
    <row r="91" spans="1:14" x14ac:dyDescent="0.25">
      <c r="A91" s="18">
        <v>10</v>
      </c>
      <c r="B91" s="18">
        <v>3</v>
      </c>
      <c r="C91" s="18" t="s">
        <v>95</v>
      </c>
      <c r="D91" s="23">
        <v>2</v>
      </c>
      <c r="E91" s="18">
        <f t="shared" si="9"/>
        <v>1</v>
      </c>
      <c r="F91" s="18">
        <f t="shared" si="10"/>
        <v>2</v>
      </c>
      <c r="G91" s="18">
        <f t="shared" si="11"/>
        <v>3</v>
      </c>
      <c r="H91" s="19">
        <f t="shared" si="12"/>
        <v>0.10798193302637613</v>
      </c>
      <c r="I91" s="19">
        <f t="shared" si="13"/>
        <v>0.79788456080286541</v>
      </c>
      <c r="J91" s="19">
        <f t="shared" si="14"/>
        <v>0.10798193302637613</v>
      </c>
      <c r="K91" s="19">
        <f t="shared" si="15"/>
        <v>0.10650697891920077</v>
      </c>
      <c r="L91" s="19">
        <f t="shared" si="16"/>
        <v>0.78698604216159851</v>
      </c>
      <c r="M91" s="19">
        <f t="shared" si="17"/>
        <v>0.10650697891920077</v>
      </c>
      <c r="N91" s="20" t="s">
        <v>105</v>
      </c>
    </row>
    <row r="92" spans="1:14" x14ac:dyDescent="0.25">
      <c r="A92" s="2">
        <v>10</v>
      </c>
      <c r="B92" s="2">
        <v>1</v>
      </c>
      <c r="C92" s="2" t="s">
        <v>96</v>
      </c>
      <c r="D92" s="22">
        <v>7</v>
      </c>
      <c r="E92" s="2">
        <f t="shared" si="9"/>
        <v>6</v>
      </c>
      <c r="F92" s="2">
        <f t="shared" si="10"/>
        <v>7</v>
      </c>
      <c r="G92" s="2">
        <f t="shared" si="11"/>
        <v>8</v>
      </c>
      <c r="H92" s="16">
        <f t="shared" si="12"/>
        <v>0.10798193302637613</v>
      </c>
      <c r="I92" s="16">
        <f t="shared" si="13"/>
        <v>0.79788456080286541</v>
      </c>
      <c r="J92" s="16">
        <f t="shared" si="14"/>
        <v>0.10798193302637613</v>
      </c>
      <c r="K92" s="16">
        <f t="shared" si="15"/>
        <v>0.10650697891920077</v>
      </c>
      <c r="L92" s="16">
        <f t="shared" si="16"/>
        <v>0.78698604216159851</v>
      </c>
      <c r="M92" s="16">
        <f t="shared" si="17"/>
        <v>0.10650697891920077</v>
      </c>
    </row>
    <row r="93" spans="1:14" x14ac:dyDescent="0.25">
      <c r="A93" s="2">
        <v>10</v>
      </c>
      <c r="B93" s="2">
        <v>2</v>
      </c>
      <c r="C93" s="2" t="s">
        <v>96</v>
      </c>
      <c r="D93" s="22">
        <v>5</v>
      </c>
      <c r="E93" s="2">
        <f t="shared" si="9"/>
        <v>4</v>
      </c>
      <c r="F93" s="2">
        <f t="shared" si="10"/>
        <v>5</v>
      </c>
      <c r="G93" s="2">
        <f t="shared" si="11"/>
        <v>6</v>
      </c>
      <c r="H93" s="16">
        <f t="shared" si="12"/>
        <v>0.10798193302637613</v>
      </c>
      <c r="I93" s="16">
        <f t="shared" si="13"/>
        <v>0.79788456080286541</v>
      </c>
      <c r="J93" s="16">
        <f t="shared" si="14"/>
        <v>0.10798193302637613</v>
      </c>
      <c r="K93" s="16">
        <f t="shared" si="15"/>
        <v>0.10650697891920077</v>
      </c>
      <c r="L93" s="16">
        <f t="shared" si="16"/>
        <v>0.78698604216159851</v>
      </c>
      <c r="M93" s="16">
        <f t="shared" si="17"/>
        <v>0.10650697891920077</v>
      </c>
    </row>
    <row r="94" spans="1:14" x14ac:dyDescent="0.25">
      <c r="A94" s="2">
        <v>10</v>
      </c>
      <c r="B94" s="2">
        <v>3</v>
      </c>
      <c r="C94" s="2" t="s">
        <v>96</v>
      </c>
      <c r="D94" s="22">
        <v>7</v>
      </c>
      <c r="E94" s="2">
        <f t="shared" si="9"/>
        <v>6</v>
      </c>
      <c r="F94" s="2">
        <f t="shared" si="10"/>
        <v>7</v>
      </c>
      <c r="G94" s="2">
        <f t="shared" si="11"/>
        <v>8</v>
      </c>
      <c r="H94" s="16">
        <f t="shared" si="12"/>
        <v>0.10798193302637613</v>
      </c>
      <c r="I94" s="16">
        <f t="shared" si="13"/>
        <v>0.79788456080286541</v>
      </c>
      <c r="J94" s="16">
        <f t="shared" si="14"/>
        <v>0.10798193302637613</v>
      </c>
      <c r="K94" s="16">
        <f t="shared" si="15"/>
        <v>0.10650697891920077</v>
      </c>
      <c r="L94" s="16">
        <f t="shared" si="16"/>
        <v>0.78698604216159851</v>
      </c>
      <c r="M94" s="16">
        <f t="shared" si="17"/>
        <v>0.10650697891920077</v>
      </c>
    </row>
    <row r="95" spans="1:14" x14ac:dyDescent="0.25">
      <c r="A95" s="17">
        <v>11</v>
      </c>
      <c r="B95" s="17">
        <v>1</v>
      </c>
      <c r="C95" s="17" t="s">
        <v>94</v>
      </c>
      <c r="D95" s="21">
        <v>5</v>
      </c>
      <c r="E95" s="17">
        <f t="shared" si="9"/>
        <v>4</v>
      </c>
      <c r="F95" s="17">
        <f t="shared" si="10"/>
        <v>5</v>
      </c>
      <c r="G95" s="17">
        <f t="shared" si="11"/>
        <v>6</v>
      </c>
      <c r="H95" s="15">
        <f t="shared" si="12"/>
        <v>0.10798193302637613</v>
      </c>
      <c r="I95" s="15">
        <f t="shared" si="13"/>
        <v>0.79788456080286541</v>
      </c>
      <c r="J95" s="15">
        <f t="shared" si="14"/>
        <v>0.10798193302637613</v>
      </c>
      <c r="K95" s="15">
        <f t="shared" si="15"/>
        <v>0.10650697891920077</v>
      </c>
      <c r="L95" s="15">
        <f t="shared" si="16"/>
        <v>0.78698604216159851</v>
      </c>
      <c r="M95" s="15">
        <f t="shared" si="17"/>
        <v>0.10650697891920077</v>
      </c>
    </row>
    <row r="96" spans="1:14" x14ac:dyDescent="0.25">
      <c r="A96" s="17">
        <v>11</v>
      </c>
      <c r="B96" s="17">
        <v>2</v>
      </c>
      <c r="C96" s="17" t="s">
        <v>94</v>
      </c>
      <c r="D96" s="21">
        <v>4</v>
      </c>
      <c r="E96" s="17">
        <f t="shared" si="9"/>
        <v>3</v>
      </c>
      <c r="F96" s="17">
        <f t="shared" si="10"/>
        <v>4</v>
      </c>
      <c r="G96" s="17">
        <f t="shared" si="11"/>
        <v>5</v>
      </c>
      <c r="H96" s="15">
        <f t="shared" si="12"/>
        <v>0.10798193302637613</v>
      </c>
      <c r="I96" s="15">
        <f t="shared" si="13"/>
        <v>0.79788456080286541</v>
      </c>
      <c r="J96" s="15">
        <f t="shared" si="14"/>
        <v>0.10798193302637613</v>
      </c>
      <c r="K96" s="15">
        <f t="shared" si="15"/>
        <v>0.10650697891920077</v>
      </c>
      <c r="L96" s="15">
        <f t="shared" si="16"/>
        <v>0.78698604216159851</v>
      </c>
      <c r="M96" s="15">
        <f t="shared" si="17"/>
        <v>0.10650697891920077</v>
      </c>
    </row>
    <row r="97" spans="1:14" x14ac:dyDescent="0.25">
      <c r="A97" s="18">
        <v>11</v>
      </c>
      <c r="B97" s="18">
        <v>3</v>
      </c>
      <c r="C97" s="18" t="s">
        <v>94</v>
      </c>
      <c r="D97" s="23">
        <v>9</v>
      </c>
      <c r="E97" s="18">
        <f t="shared" si="9"/>
        <v>8</v>
      </c>
      <c r="F97" s="18">
        <f t="shared" si="10"/>
        <v>9</v>
      </c>
      <c r="G97" s="18">
        <f t="shared" si="11"/>
        <v>10</v>
      </c>
      <c r="H97" s="19">
        <f t="shared" si="12"/>
        <v>0.10798193302637613</v>
      </c>
      <c r="I97" s="19">
        <f t="shared" si="13"/>
        <v>0.79788456080286541</v>
      </c>
      <c r="J97" s="19">
        <f t="shared" si="14"/>
        <v>0.10798193302637613</v>
      </c>
      <c r="K97" s="19">
        <f t="shared" si="15"/>
        <v>0.10650697891920077</v>
      </c>
      <c r="L97" s="19">
        <f t="shared" si="16"/>
        <v>0.78698604216159851</v>
      </c>
      <c r="M97" s="19">
        <f t="shared" si="17"/>
        <v>0.10650697891920077</v>
      </c>
      <c r="N97" s="20" t="s">
        <v>105</v>
      </c>
    </row>
    <row r="98" spans="1:14" x14ac:dyDescent="0.25">
      <c r="A98" s="2">
        <v>11</v>
      </c>
      <c r="B98" s="2">
        <v>1</v>
      </c>
      <c r="C98" s="2" t="s">
        <v>95</v>
      </c>
      <c r="D98" s="22">
        <v>6</v>
      </c>
      <c r="E98" s="2">
        <f t="shared" si="9"/>
        <v>5</v>
      </c>
      <c r="F98" s="2">
        <f t="shared" si="10"/>
        <v>6</v>
      </c>
      <c r="G98" s="2">
        <f t="shared" si="11"/>
        <v>7</v>
      </c>
      <c r="H98" s="16">
        <f t="shared" si="12"/>
        <v>0.10798193302637613</v>
      </c>
      <c r="I98" s="16">
        <f t="shared" si="13"/>
        <v>0.79788456080286541</v>
      </c>
      <c r="J98" s="16">
        <f t="shared" si="14"/>
        <v>0.10798193302637613</v>
      </c>
      <c r="K98" s="16">
        <f t="shared" si="15"/>
        <v>0.10650697891920077</v>
      </c>
      <c r="L98" s="16">
        <f t="shared" si="16"/>
        <v>0.78698604216159851</v>
      </c>
      <c r="M98" s="16">
        <f t="shared" si="17"/>
        <v>0.10650697891920077</v>
      </c>
    </row>
    <row r="99" spans="1:14" x14ac:dyDescent="0.25">
      <c r="A99" s="2">
        <v>11</v>
      </c>
      <c r="B99" s="2">
        <v>2</v>
      </c>
      <c r="C99" s="2" t="s">
        <v>95</v>
      </c>
      <c r="D99" s="22">
        <v>6</v>
      </c>
      <c r="E99" s="2">
        <f t="shared" si="9"/>
        <v>5</v>
      </c>
      <c r="F99" s="2">
        <f t="shared" si="10"/>
        <v>6</v>
      </c>
      <c r="G99" s="2">
        <f t="shared" si="11"/>
        <v>7</v>
      </c>
      <c r="H99" s="16">
        <f t="shared" si="12"/>
        <v>0.10798193302637613</v>
      </c>
      <c r="I99" s="16">
        <f t="shared" si="13"/>
        <v>0.79788456080286541</v>
      </c>
      <c r="J99" s="16">
        <f t="shared" si="14"/>
        <v>0.10798193302637613</v>
      </c>
      <c r="K99" s="16">
        <f t="shared" si="15"/>
        <v>0.10650697891920077</v>
      </c>
      <c r="L99" s="16">
        <f t="shared" si="16"/>
        <v>0.78698604216159851</v>
      </c>
      <c r="M99" s="16">
        <f t="shared" si="17"/>
        <v>0.10650697891920077</v>
      </c>
    </row>
    <row r="100" spans="1:14" x14ac:dyDescent="0.25">
      <c r="A100" s="18">
        <v>11</v>
      </c>
      <c r="B100" s="18">
        <v>3</v>
      </c>
      <c r="C100" s="18" t="s">
        <v>95</v>
      </c>
      <c r="D100" s="23">
        <v>3</v>
      </c>
      <c r="E100" s="18">
        <f t="shared" si="9"/>
        <v>2</v>
      </c>
      <c r="F100" s="18">
        <f t="shared" si="10"/>
        <v>3</v>
      </c>
      <c r="G100" s="18">
        <f t="shared" si="11"/>
        <v>4</v>
      </c>
      <c r="H100" s="19">
        <f t="shared" si="12"/>
        <v>0.10798193302637613</v>
      </c>
      <c r="I100" s="19">
        <f t="shared" si="13"/>
        <v>0.79788456080286541</v>
      </c>
      <c r="J100" s="19">
        <f t="shared" si="14"/>
        <v>0.10798193302637613</v>
      </c>
      <c r="K100" s="19">
        <f t="shared" si="15"/>
        <v>0.10650697891920077</v>
      </c>
      <c r="L100" s="19">
        <f t="shared" si="16"/>
        <v>0.78698604216159851</v>
      </c>
      <c r="M100" s="19">
        <f t="shared" si="17"/>
        <v>0.10650697891920077</v>
      </c>
      <c r="N100" s="20" t="s">
        <v>105</v>
      </c>
    </row>
    <row r="101" spans="1:14" x14ac:dyDescent="0.25">
      <c r="A101" s="17">
        <v>11</v>
      </c>
      <c r="B101" s="17">
        <v>1</v>
      </c>
      <c r="C101" s="17" t="s">
        <v>96</v>
      </c>
      <c r="D101" s="21">
        <v>7</v>
      </c>
      <c r="E101" s="17">
        <f t="shared" si="9"/>
        <v>6</v>
      </c>
      <c r="F101" s="17">
        <f t="shared" si="10"/>
        <v>7</v>
      </c>
      <c r="G101" s="17">
        <f t="shared" si="11"/>
        <v>8</v>
      </c>
      <c r="H101" s="15">
        <f t="shared" si="12"/>
        <v>0.10798193302637613</v>
      </c>
      <c r="I101" s="15">
        <f t="shared" si="13"/>
        <v>0.79788456080286541</v>
      </c>
      <c r="J101" s="15">
        <f t="shared" si="14"/>
        <v>0.10798193302637613</v>
      </c>
      <c r="K101" s="15">
        <f t="shared" si="15"/>
        <v>0.10650697891920077</v>
      </c>
      <c r="L101" s="15">
        <f t="shared" si="16"/>
        <v>0.78698604216159851</v>
      </c>
      <c r="M101" s="15">
        <f t="shared" si="17"/>
        <v>0.10650697891920077</v>
      </c>
    </row>
    <row r="102" spans="1:14" x14ac:dyDescent="0.25">
      <c r="A102" s="17">
        <v>11</v>
      </c>
      <c r="B102" s="17">
        <v>2</v>
      </c>
      <c r="C102" s="17" t="s">
        <v>96</v>
      </c>
      <c r="D102" s="21">
        <v>6</v>
      </c>
      <c r="E102" s="17">
        <f t="shared" si="9"/>
        <v>5</v>
      </c>
      <c r="F102" s="17">
        <f t="shared" si="10"/>
        <v>6</v>
      </c>
      <c r="G102" s="17">
        <f t="shared" si="11"/>
        <v>7</v>
      </c>
      <c r="H102" s="15">
        <f t="shared" si="12"/>
        <v>0.10798193302637613</v>
      </c>
      <c r="I102" s="15">
        <f t="shared" si="13"/>
        <v>0.79788456080286541</v>
      </c>
      <c r="J102" s="15">
        <f t="shared" si="14"/>
        <v>0.10798193302637613</v>
      </c>
      <c r="K102" s="15">
        <f t="shared" si="15"/>
        <v>0.10650697891920077</v>
      </c>
      <c r="L102" s="15">
        <f t="shared" si="16"/>
        <v>0.78698604216159851</v>
      </c>
      <c r="M102" s="15">
        <f t="shared" si="17"/>
        <v>0.10650697891920077</v>
      </c>
    </row>
    <row r="103" spans="1:14" x14ac:dyDescent="0.25">
      <c r="A103" s="17">
        <v>11</v>
      </c>
      <c r="B103" s="17">
        <v>3</v>
      </c>
      <c r="C103" s="17" t="s">
        <v>96</v>
      </c>
      <c r="D103" s="21">
        <v>6</v>
      </c>
      <c r="E103" s="17">
        <f t="shared" si="9"/>
        <v>5</v>
      </c>
      <c r="F103" s="17">
        <f t="shared" si="10"/>
        <v>6</v>
      </c>
      <c r="G103" s="17">
        <f t="shared" si="11"/>
        <v>7</v>
      </c>
      <c r="H103" s="15">
        <f t="shared" si="12"/>
        <v>0.10798193302637613</v>
      </c>
      <c r="I103" s="15">
        <f t="shared" si="13"/>
        <v>0.79788456080286541</v>
      </c>
      <c r="J103" s="15">
        <f t="shared" si="14"/>
        <v>0.10798193302637613</v>
      </c>
      <c r="K103" s="15">
        <f t="shared" si="15"/>
        <v>0.10650697891920077</v>
      </c>
      <c r="L103" s="15">
        <f t="shared" si="16"/>
        <v>0.78698604216159851</v>
      </c>
      <c r="M103" s="15">
        <f t="shared" si="17"/>
        <v>0.10650697891920077</v>
      </c>
    </row>
    <row r="104" spans="1:14" x14ac:dyDescent="0.25">
      <c r="A104" s="2">
        <v>12</v>
      </c>
      <c r="B104" s="2">
        <v>1</v>
      </c>
      <c r="C104" s="2" t="s">
        <v>94</v>
      </c>
      <c r="D104" s="22">
        <v>5</v>
      </c>
      <c r="E104" s="2">
        <f t="shared" si="9"/>
        <v>4</v>
      </c>
      <c r="F104" s="2">
        <f t="shared" si="10"/>
        <v>5</v>
      </c>
      <c r="G104" s="2">
        <f t="shared" si="11"/>
        <v>6</v>
      </c>
      <c r="H104" s="16">
        <f t="shared" si="12"/>
        <v>0.10798193302637613</v>
      </c>
      <c r="I104" s="16">
        <f t="shared" si="13"/>
        <v>0.79788456080286541</v>
      </c>
      <c r="J104" s="16">
        <f t="shared" si="14"/>
        <v>0.10798193302637613</v>
      </c>
      <c r="K104" s="16">
        <f t="shared" si="15"/>
        <v>0.10650697891920077</v>
      </c>
      <c r="L104" s="16">
        <f t="shared" si="16"/>
        <v>0.78698604216159851</v>
      </c>
      <c r="M104" s="16">
        <f t="shared" si="17"/>
        <v>0.10650697891920077</v>
      </c>
    </row>
    <row r="105" spans="1:14" x14ac:dyDescent="0.25">
      <c r="A105" s="2">
        <v>12</v>
      </c>
      <c r="B105" s="2">
        <v>2</v>
      </c>
      <c r="C105" s="2" t="s">
        <v>94</v>
      </c>
      <c r="D105" s="22">
        <v>3</v>
      </c>
      <c r="E105" s="2">
        <f t="shared" si="9"/>
        <v>2</v>
      </c>
      <c r="F105" s="2">
        <f t="shared" si="10"/>
        <v>3</v>
      </c>
      <c r="G105" s="2">
        <f t="shared" si="11"/>
        <v>4</v>
      </c>
      <c r="H105" s="16">
        <f t="shared" si="12"/>
        <v>0.10798193302637613</v>
      </c>
      <c r="I105" s="16">
        <f t="shared" si="13"/>
        <v>0.79788456080286541</v>
      </c>
      <c r="J105" s="16">
        <f t="shared" si="14"/>
        <v>0.10798193302637613</v>
      </c>
      <c r="K105" s="16">
        <f t="shared" si="15"/>
        <v>0.10650697891920077</v>
      </c>
      <c r="L105" s="16">
        <f t="shared" si="16"/>
        <v>0.78698604216159851</v>
      </c>
      <c r="M105" s="16">
        <f t="shared" si="17"/>
        <v>0.10650697891920077</v>
      </c>
    </row>
    <row r="106" spans="1:14" x14ac:dyDescent="0.25">
      <c r="A106" s="18">
        <v>12</v>
      </c>
      <c r="B106" s="18">
        <v>3</v>
      </c>
      <c r="C106" s="18" t="s">
        <v>94</v>
      </c>
      <c r="D106" s="23">
        <v>9</v>
      </c>
      <c r="E106" s="18">
        <f t="shared" si="9"/>
        <v>8</v>
      </c>
      <c r="F106" s="18">
        <f t="shared" si="10"/>
        <v>9</v>
      </c>
      <c r="G106" s="18">
        <f t="shared" si="11"/>
        <v>10</v>
      </c>
      <c r="H106" s="19">
        <f t="shared" si="12"/>
        <v>0.10798193302637613</v>
      </c>
      <c r="I106" s="19">
        <f t="shared" si="13"/>
        <v>0.79788456080286541</v>
      </c>
      <c r="J106" s="19">
        <f t="shared" si="14"/>
        <v>0.10798193302637613</v>
      </c>
      <c r="K106" s="19">
        <f t="shared" si="15"/>
        <v>0.10650697891920077</v>
      </c>
      <c r="L106" s="19">
        <f t="shared" si="16"/>
        <v>0.78698604216159851</v>
      </c>
      <c r="M106" s="19">
        <f t="shared" si="17"/>
        <v>0.10650697891920077</v>
      </c>
      <c r="N106" s="20" t="s">
        <v>105</v>
      </c>
    </row>
    <row r="107" spans="1:14" x14ac:dyDescent="0.25">
      <c r="A107" s="17">
        <v>12</v>
      </c>
      <c r="B107" s="17">
        <v>1</v>
      </c>
      <c r="C107" s="17" t="s">
        <v>95</v>
      </c>
      <c r="D107" s="21">
        <v>7</v>
      </c>
      <c r="E107" s="17">
        <f t="shared" si="9"/>
        <v>6</v>
      </c>
      <c r="F107" s="17">
        <f t="shared" si="10"/>
        <v>7</v>
      </c>
      <c r="G107" s="17">
        <f t="shared" si="11"/>
        <v>8</v>
      </c>
      <c r="H107" s="15">
        <f t="shared" si="12"/>
        <v>0.10798193302637613</v>
      </c>
      <c r="I107" s="15">
        <f t="shared" si="13"/>
        <v>0.79788456080286541</v>
      </c>
      <c r="J107" s="15">
        <f t="shared" si="14"/>
        <v>0.10798193302637613</v>
      </c>
      <c r="K107" s="15">
        <f t="shared" si="15"/>
        <v>0.10650697891920077</v>
      </c>
      <c r="L107" s="15">
        <f t="shared" si="16"/>
        <v>0.78698604216159851</v>
      </c>
      <c r="M107" s="15">
        <f t="shared" si="17"/>
        <v>0.10650697891920077</v>
      </c>
    </row>
    <row r="108" spans="1:14" x14ac:dyDescent="0.25">
      <c r="A108" s="17">
        <v>12</v>
      </c>
      <c r="B108" s="17">
        <v>2</v>
      </c>
      <c r="C108" s="17" t="s">
        <v>95</v>
      </c>
      <c r="D108" s="21">
        <v>5</v>
      </c>
      <c r="E108" s="17">
        <f t="shared" si="9"/>
        <v>4</v>
      </c>
      <c r="F108" s="17">
        <f t="shared" si="10"/>
        <v>5</v>
      </c>
      <c r="G108" s="17">
        <f t="shared" si="11"/>
        <v>6</v>
      </c>
      <c r="H108" s="15">
        <f t="shared" si="12"/>
        <v>0.10798193302637613</v>
      </c>
      <c r="I108" s="15">
        <f t="shared" si="13"/>
        <v>0.79788456080286541</v>
      </c>
      <c r="J108" s="15">
        <f t="shared" si="14"/>
        <v>0.10798193302637613</v>
      </c>
      <c r="K108" s="15">
        <f t="shared" si="15"/>
        <v>0.10650697891920077</v>
      </c>
      <c r="L108" s="15">
        <f t="shared" si="16"/>
        <v>0.78698604216159851</v>
      </c>
      <c r="M108" s="15">
        <f t="shared" si="17"/>
        <v>0.10650697891920077</v>
      </c>
    </row>
    <row r="109" spans="1:14" x14ac:dyDescent="0.25">
      <c r="A109" s="17">
        <v>12</v>
      </c>
      <c r="B109" s="17">
        <v>3</v>
      </c>
      <c r="C109" s="17" t="s">
        <v>95</v>
      </c>
      <c r="D109" s="21">
        <v>6</v>
      </c>
      <c r="E109" s="17">
        <f t="shared" si="9"/>
        <v>5</v>
      </c>
      <c r="F109" s="17">
        <f t="shared" si="10"/>
        <v>6</v>
      </c>
      <c r="G109" s="17">
        <f t="shared" si="11"/>
        <v>7</v>
      </c>
      <c r="H109" s="15">
        <f t="shared" si="12"/>
        <v>0.10798193302637613</v>
      </c>
      <c r="I109" s="15">
        <f t="shared" si="13"/>
        <v>0.79788456080286541</v>
      </c>
      <c r="J109" s="15">
        <f t="shared" si="14"/>
        <v>0.10798193302637613</v>
      </c>
      <c r="K109" s="15">
        <f t="shared" si="15"/>
        <v>0.10650697891920077</v>
      </c>
      <c r="L109" s="15">
        <f t="shared" si="16"/>
        <v>0.78698604216159851</v>
      </c>
      <c r="M109" s="15">
        <f t="shared" si="17"/>
        <v>0.10650697891920077</v>
      </c>
    </row>
    <row r="110" spans="1:14" x14ac:dyDescent="0.25">
      <c r="A110" s="2">
        <v>12</v>
      </c>
      <c r="B110" s="2">
        <v>1</v>
      </c>
      <c r="C110" s="2" t="s">
        <v>96</v>
      </c>
      <c r="D110" s="22">
        <v>6</v>
      </c>
      <c r="E110" s="2">
        <f t="shared" si="9"/>
        <v>5</v>
      </c>
      <c r="F110" s="2">
        <f t="shared" si="10"/>
        <v>6</v>
      </c>
      <c r="G110" s="2">
        <f t="shared" si="11"/>
        <v>7</v>
      </c>
      <c r="H110" s="16">
        <f t="shared" si="12"/>
        <v>0.10798193302637613</v>
      </c>
      <c r="I110" s="16">
        <f t="shared" si="13"/>
        <v>0.79788456080286541</v>
      </c>
      <c r="J110" s="16">
        <f t="shared" si="14"/>
        <v>0.10798193302637613</v>
      </c>
      <c r="K110" s="16">
        <f t="shared" si="15"/>
        <v>0.10650697891920077</v>
      </c>
      <c r="L110" s="16">
        <f t="shared" si="16"/>
        <v>0.78698604216159851</v>
      </c>
      <c r="M110" s="16">
        <f t="shared" si="17"/>
        <v>0.10650697891920077</v>
      </c>
    </row>
    <row r="111" spans="1:14" x14ac:dyDescent="0.25">
      <c r="A111" s="2">
        <v>12</v>
      </c>
      <c r="B111" s="2">
        <v>2</v>
      </c>
      <c r="C111" s="2" t="s">
        <v>96</v>
      </c>
      <c r="D111" s="22">
        <v>6</v>
      </c>
      <c r="E111" s="2">
        <f t="shared" si="9"/>
        <v>5</v>
      </c>
      <c r="F111" s="2">
        <f t="shared" si="10"/>
        <v>6</v>
      </c>
      <c r="G111" s="2">
        <f t="shared" si="11"/>
        <v>7</v>
      </c>
      <c r="H111" s="16">
        <f t="shared" si="12"/>
        <v>0.10798193302637613</v>
      </c>
      <c r="I111" s="16">
        <f t="shared" si="13"/>
        <v>0.79788456080286541</v>
      </c>
      <c r="J111" s="16">
        <f t="shared" si="14"/>
        <v>0.10798193302637613</v>
      </c>
      <c r="K111" s="16">
        <f t="shared" si="15"/>
        <v>0.10650697891920077</v>
      </c>
      <c r="L111" s="16">
        <f t="shared" si="16"/>
        <v>0.78698604216159851</v>
      </c>
      <c r="M111" s="16">
        <f t="shared" si="17"/>
        <v>0.10650697891920077</v>
      </c>
    </row>
    <row r="112" spans="1:14" x14ac:dyDescent="0.25">
      <c r="A112" s="2">
        <v>12</v>
      </c>
      <c r="B112" s="2">
        <v>3</v>
      </c>
      <c r="C112" s="2" t="s">
        <v>96</v>
      </c>
      <c r="D112" s="22">
        <v>7</v>
      </c>
      <c r="E112" s="2">
        <f t="shared" si="9"/>
        <v>6</v>
      </c>
      <c r="F112" s="2">
        <f t="shared" si="10"/>
        <v>7</v>
      </c>
      <c r="G112" s="2">
        <f t="shared" si="11"/>
        <v>8</v>
      </c>
      <c r="H112" s="16">
        <f t="shared" si="12"/>
        <v>0.10798193302637613</v>
      </c>
      <c r="I112" s="16">
        <f t="shared" si="13"/>
        <v>0.79788456080286541</v>
      </c>
      <c r="J112" s="16">
        <f t="shared" si="14"/>
        <v>0.10798193302637613</v>
      </c>
      <c r="K112" s="16">
        <f t="shared" si="15"/>
        <v>0.10650697891920077</v>
      </c>
      <c r="L112" s="16">
        <f t="shared" si="16"/>
        <v>0.78698604216159851</v>
      </c>
      <c r="M112" s="16">
        <f t="shared" si="17"/>
        <v>0.10650697891920077</v>
      </c>
    </row>
    <row r="113" spans="1:14" x14ac:dyDescent="0.25">
      <c r="A113" s="17">
        <v>13</v>
      </c>
      <c r="B113" s="17">
        <v>1</v>
      </c>
      <c r="C113" s="17" t="s">
        <v>94</v>
      </c>
      <c r="D113" s="21">
        <v>8</v>
      </c>
      <c r="E113" s="17">
        <f t="shared" si="9"/>
        <v>7</v>
      </c>
      <c r="F113" s="17">
        <f t="shared" si="10"/>
        <v>8</v>
      </c>
      <c r="G113" s="17">
        <f t="shared" si="11"/>
        <v>9</v>
      </c>
      <c r="H113" s="15">
        <f t="shared" si="12"/>
        <v>0.10798193302637613</v>
      </c>
      <c r="I113" s="15">
        <f t="shared" si="13"/>
        <v>0.79788456080286541</v>
      </c>
      <c r="J113" s="15">
        <f t="shared" si="14"/>
        <v>0.10798193302637613</v>
      </c>
      <c r="K113" s="15">
        <f t="shared" si="15"/>
        <v>0.10650697891920077</v>
      </c>
      <c r="L113" s="15">
        <f t="shared" si="16"/>
        <v>0.78698604216159851</v>
      </c>
      <c r="M113" s="15">
        <f t="shared" si="17"/>
        <v>0.10650697891920077</v>
      </c>
    </row>
    <row r="114" spans="1:14" x14ac:dyDescent="0.25">
      <c r="A114" s="17">
        <v>13</v>
      </c>
      <c r="B114" s="17">
        <v>2</v>
      </c>
      <c r="C114" s="17" t="s">
        <v>94</v>
      </c>
      <c r="D114" s="21">
        <v>9</v>
      </c>
      <c r="E114" s="17">
        <f t="shared" si="9"/>
        <v>8</v>
      </c>
      <c r="F114" s="17">
        <f t="shared" si="10"/>
        <v>9</v>
      </c>
      <c r="G114" s="17">
        <f t="shared" si="11"/>
        <v>10</v>
      </c>
      <c r="H114" s="15">
        <f t="shared" si="12"/>
        <v>0.10798193302637613</v>
      </c>
      <c r="I114" s="15">
        <f t="shared" si="13"/>
        <v>0.79788456080286541</v>
      </c>
      <c r="J114" s="15">
        <f t="shared" si="14"/>
        <v>0.10798193302637613</v>
      </c>
      <c r="K114" s="15">
        <f t="shared" si="15"/>
        <v>0.10650697891920077</v>
      </c>
      <c r="L114" s="15">
        <f t="shared" si="16"/>
        <v>0.78698604216159851</v>
      </c>
      <c r="M114" s="15">
        <f t="shared" si="17"/>
        <v>0.10650697891920077</v>
      </c>
    </row>
    <row r="115" spans="1:14" x14ac:dyDescent="0.25">
      <c r="A115" s="17">
        <v>13</v>
      </c>
      <c r="B115" s="17">
        <v>3</v>
      </c>
      <c r="C115" s="17" t="s">
        <v>94</v>
      </c>
      <c r="D115" s="21">
        <v>9</v>
      </c>
      <c r="E115" s="17">
        <f t="shared" si="9"/>
        <v>8</v>
      </c>
      <c r="F115" s="17">
        <f t="shared" si="10"/>
        <v>9</v>
      </c>
      <c r="G115" s="17">
        <f t="shared" si="11"/>
        <v>10</v>
      </c>
      <c r="H115" s="15">
        <f t="shared" si="12"/>
        <v>0.10798193302637613</v>
      </c>
      <c r="I115" s="15">
        <f t="shared" si="13"/>
        <v>0.79788456080286541</v>
      </c>
      <c r="J115" s="15">
        <f t="shared" si="14"/>
        <v>0.10798193302637613</v>
      </c>
      <c r="K115" s="15">
        <f t="shared" si="15"/>
        <v>0.10650697891920077</v>
      </c>
      <c r="L115" s="15">
        <f t="shared" si="16"/>
        <v>0.78698604216159851</v>
      </c>
      <c r="M115" s="15">
        <f t="shared" si="17"/>
        <v>0.10650697891920077</v>
      </c>
    </row>
    <row r="116" spans="1:14" x14ac:dyDescent="0.25">
      <c r="A116" s="2">
        <v>13</v>
      </c>
      <c r="B116" s="2">
        <v>1</v>
      </c>
      <c r="C116" s="2" t="s">
        <v>95</v>
      </c>
      <c r="D116" s="22">
        <v>5</v>
      </c>
      <c r="E116" s="2">
        <f t="shared" si="9"/>
        <v>4</v>
      </c>
      <c r="F116" s="2">
        <f t="shared" si="10"/>
        <v>5</v>
      </c>
      <c r="G116" s="2">
        <f t="shared" si="11"/>
        <v>6</v>
      </c>
      <c r="H116" s="16">
        <f t="shared" si="12"/>
        <v>0.10798193302637613</v>
      </c>
      <c r="I116" s="16">
        <f t="shared" si="13"/>
        <v>0.79788456080286541</v>
      </c>
      <c r="J116" s="16">
        <f t="shared" si="14"/>
        <v>0.10798193302637613</v>
      </c>
      <c r="K116" s="16">
        <f t="shared" si="15"/>
        <v>0.10650697891920077</v>
      </c>
      <c r="L116" s="16">
        <f t="shared" si="16"/>
        <v>0.78698604216159851</v>
      </c>
      <c r="M116" s="16">
        <f t="shared" si="17"/>
        <v>0.10650697891920077</v>
      </c>
    </row>
    <row r="117" spans="1:14" x14ac:dyDescent="0.25">
      <c r="A117" s="2">
        <v>13</v>
      </c>
      <c r="B117" s="2">
        <v>2</v>
      </c>
      <c r="C117" s="2" t="s">
        <v>95</v>
      </c>
      <c r="D117" s="22">
        <v>4</v>
      </c>
      <c r="E117" s="2">
        <f t="shared" si="9"/>
        <v>3</v>
      </c>
      <c r="F117" s="2">
        <f t="shared" si="10"/>
        <v>4</v>
      </c>
      <c r="G117" s="2">
        <f t="shared" si="11"/>
        <v>5</v>
      </c>
      <c r="H117" s="16">
        <f t="shared" si="12"/>
        <v>0.10798193302637613</v>
      </c>
      <c r="I117" s="16">
        <f t="shared" si="13"/>
        <v>0.79788456080286541</v>
      </c>
      <c r="J117" s="16">
        <f t="shared" si="14"/>
        <v>0.10798193302637613</v>
      </c>
      <c r="K117" s="16">
        <f t="shared" si="15"/>
        <v>0.10650697891920077</v>
      </c>
      <c r="L117" s="16">
        <f t="shared" si="16"/>
        <v>0.78698604216159851</v>
      </c>
      <c r="M117" s="16">
        <f t="shared" si="17"/>
        <v>0.10650697891920077</v>
      </c>
    </row>
    <row r="118" spans="1:14" x14ac:dyDescent="0.25">
      <c r="A118" s="2">
        <v>13</v>
      </c>
      <c r="B118" s="2">
        <v>3</v>
      </c>
      <c r="C118" s="2" t="s">
        <v>95</v>
      </c>
      <c r="D118" s="22">
        <v>4</v>
      </c>
      <c r="E118" s="2">
        <f t="shared" si="9"/>
        <v>3</v>
      </c>
      <c r="F118" s="2">
        <f t="shared" si="10"/>
        <v>4</v>
      </c>
      <c r="G118" s="2">
        <f t="shared" si="11"/>
        <v>5</v>
      </c>
      <c r="H118" s="16">
        <f t="shared" si="12"/>
        <v>0.10798193302637613</v>
      </c>
      <c r="I118" s="16">
        <f t="shared" si="13"/>
        <v>0.79788456080286541</v>
      </c>
      <c r="J118" s="16">
        <f t="shared" si="14"/>
        <v>0.10798193302637613</v>
      </c>
      <c r="K118" s="16">
        <f t="shared" si="15"/>
        <v>0.10650697891920077</v>
      </c>
      <c r="L118" s="16">
        <f t="shared" si="16"/>
        <v>0.78698604216159851</v>
      </c>
      <c r="M118" s="16">
        <f t="shared" si="17"/>
        <v>0.10650697891920077</v>
      </c>
    </row>
    <row r="119" spans="1:14" x14ac:dyDescent="0.25">
      <c r="A119" s="17">
        <v>13</v>
      </c>
      <c r="B119" s="17">
        <v>1</v>
      </c>
      <c r="C119" s="17" t="s">
        <v>96</v>
      </c>
      <c r="D119" s="21">
        <v>7</v>
      </c>
      <c r="E119" s="17">
        <f t="shared" si="9"/>
        <v>6</v>
      </c>
      <c r="F119" s="17">
        <f t="shared" si="10"/>
        <v>7</v>
      </c>
      <c r="G119" s="17">
        <f t="shared" si="11"/>
        <v>8</v>
      </c>
      <c r="H119" s="15">
        <f t="shared" si="12"/>
        <v>0.10798193302637613</v>
      </c>
      <c r="I119" s="15">
        <f t="shared" si="13"/>
        <v>0.79788456080286541</v>
      </c>
      <c r="J119" s="15">
        <f t="shared" si="14"/>
        <v>0.10798193302637613</v>
      </c>
      <c r="K119" s="15">
        <f t="shared" si="15"/>
        <v>0.10650697891920077</v>
      </c>
      <c r="L119" s="15">
        <f t="shared" si="16"/>
        <v>0.78698604216159851</v>
      </c>
      <c r="M119" s="15">
        <f t="shared" si="17"/>
        <v>0.10650697891920077</v>
      </c>
    </row>
    <row r="120" spans="1:14" x14ac:dyDescent="0.25">
      <c r="A120" s="17">
        <v>13</v>
      </c>
      <c r="B120" s="17">
        <v>2</v>
      </c>
      <c r="C120" s="17" t="s">
        <v>96</v>
      </c>
      <c r="D120" s="21">
        <v>8</v>
      </c>
      <c r="E120" s="17">
        <f t="shared" si="9"/>
        <v>7</v>
      </c>
      <c r="F120" s="17">
        <f t="shared" si="10"/>
        <v>8</v>
      </c>
      <c r="G120" s="17">
        <f t="shared" si="11"/>
        <v>9</v>
      </c>
      <c r="H120" s="15">
        <f t="shared" si="12"/>
        <v>0.10798193302637613</v>
      </c>
      <c r="I120" s="15">
        <f t="shared" si="13"/>
        <v>0.79788456080286541</v>
      </c>
      <c r="J120" s="15">
        <f t="shared" si="14"/>
        <v>0.10798193302637613</v>
      </c>
      <c r="K120" s="15">
        <f t="shared" si="15"/>
        <v>0.10650697891920077</v>
      </c>
      <c r="L120" s="15">
        <f t="shared" si="16"/>
        <v>0.78698604216159851</v>
      </c>
      <c r="M120" s="15">
        <f t="shared" si="17"/>
        <v>0.10650697891920077</v>
      </c>
    </row>
    <row r="121" spans="1:14" x14ac:dyDescent="0.25">
      <c r="A121" s="17">
        <v>13</v>
      </c>
      <c r="B121" s="17">
        <v>3</v>
      </c>
      <c r="C121" s="17" t="s">
        <v>96</v>
      </c>
      <c r="D121" s="21">
        <v>7</v>
      </c>
      <c r="E121" s="17">
        <f t="shared" si="9"/>
        <v>6</v>
      </c>
      <c r="F121" s="17">
        <f t="shared" si="10"/>
        <v>7</v>
      </c>
      <c r="G121" s="17">
        <f t="shared" si="11"/>
        <v>8</v>
      </c>
      <c r="H121" s="15">
        <f t="shared" si="12"/>
        <v>0.10798193302637613</v>
      </c>
      <c r="I121" s="15">
        <f t="shared" si="13"/>
        <v>0.79788456080286541</v>
      </c>
      <c r="J121" s="15">
        <f t="shared" si="14"/>
        <v>0.10798193302637613</v>
      </c>
      <c r="K121" s="15">
        <f t="shared" si="15"/>
        <v>0.10650697891920077</v>
      </c>
      <c r="L121" s="15">
        <f t="shared" si="16"/>
        <v>0.78698604216159851</v>
      </c>
      <c r="M121" s="15">
        <f t="shared" si="17"/>
        <v>0.10650697891920077</v>
      </c>
    </row>
    <row r="122" spans="1:14" x14ac:dyDescent="0.25">
      <c r="A122" s="2">
        <v>14</v>
      </c>
      <c r="B122" s="2">
        <v>1</v>
      </c>
      <c r="C122" s="2" t="s">
        <v>94</v>
      </c>
      <c r="D122" s="22">
        <v>8</v>
      </c>
      <c r="E122" s="2">
        <f t="shared" si="9"/>
        <v>7</v>
      </c>
      <c r="F122" s="2">
        <f t="shared" si="10"/>
        <v>8</v>
      </c>
      <c r="G122" s="2">
        <f t="shared" si="11"/>
        <v>9</v>
      </c>
      <c r="H122" s="16">
        <f t="shared" si="12"/>
        <v>0.10798193302637613</v>
      </c>
      <c r="I122" s="16">
        <f t="shared" si="13"/>
        <v>0.79788456080286541</v>
      </c>
      <c r="J122" s="16">
        <f t="shared" si="14"/>
        <v>0.10798193302637613</v>
      </c>
      <c r="K122" s="16">
        <f t="shared" si="15"/>
        <v>0.10650697891920077</v>
      </c>
      <c r="L122" s="16">
        <f t="shared" si="16"/>
        <v>0.78698604216159851</v>
      </c>
      <c r="M122" s="16">
        <f t="shared" si="17"/>
        <v>0.10650697891920077</v>
      </c>
    </row>
    <row r="123" spans="1:14" x14ac:dyDescent="0.25">
      <c r="A123" s="18">
        <v>14</v>
      </c>
      <c r="B123" s="18">
        <v>2</v>
      </c>
      <c r="C123" s="18" t="s">
        <v>94</v>
      </c>
      <c r="D123" s="23">
        <v>5</v>
      </c>
      <c r="E123" s="18">
        <f t="shared" si="9"/>
        <v>4</v>
      </c>
      <c r="F123" s="18">
        <f t="shared" si="10"/>
        <v>5</v>
      </c>
      <c r="G123" s="18">
        <f t="shared" si="11"/>
        <v>6</v>
      </c>
      <c r="H123" s="19">
        <f t="shared" si="12"/>
        <v>0.10798193302637613</v>
      </c>
      <c r="I123" s="19">
        <f t="shared" si="13"/>
        <v>0.79788456080286541</v>
      </c>
      <c r="J123" s="19">
        <f t="shared" si="14"/>
        <v>0.10798193302637613</v>
      </c>
      <c r="K123" s="19">
        <f t="shared" si="15"/>
        <v>0.10650697891920077</v>
      </c>
      <c r="L123" s="19">
        <f t="shared" si="16"/>
        <v>0.78698604216159851</v>
      </c>
      <c r="M123" s="19">
        <f t="shared" si="17"/>
        <v>0.10650697891920077</v>
      </c>
      <c r="N123" s="20" t="s">
        <v>105</v>
      </c>
    </row>
    <row r="124" spans="1:14" x14ac:dyDescent="0.25">
      <c r="A124" s="2">
        <v>14</v>
      </c>
      <c r="B124" s="2">
        <v>3</v>
      </c>
      <c r="C124" s="2" t="s">
        <v>94</v>
      </c>
      <c r="D124" s="22">
        <v>9</v>
      </c>
      <c r="E124" s="2">
        <f t="shared" si="9"/>
        <v>8</v>
      </c>
      <c r="F124" s="2">
        <f t="shared" si="10"/>
        <v>9</v>
      </c>
      <c r="G124" s="2">
        <f t="shared" si="11"/>
        <v>10</v>
      </c>
      <c r="H124" s="16">
        <f t="shared" si="12"/>
        <v>0.10798193302637613</v>
      </c>
      <c r="I124" s="16">
        <f t="shared" si="13"/>
        <v>0.79788456080286541</v>
      </c>
      <c r="J124" s="16">
        <f t="shared" si="14"/>
        <v>0.10798193302637613</v>
      </c>
      <c r="K124" s="16">
        <f t="shared" si="15"/>
        <v>0.10650697891920077</v>
      </c>
      <c r="L124" s="16">
        <f t="shared" si="16"/>
        <v>0.78698604216159851</v>
      </c>
      <c r="M124" s="16">
        <f t="shared" si="17"/>
        <v>0.10650697891920077</v>
      </c>
    </row>
    <row r="125" spans="1:14" x14ac:dyDescent="0.25">
      <c r="A125" s="17">
        <v>14</v>
      </c>
      <c r="B125" s="17">
        <v>1</v>
      </c>
      <c r="C125" s="17" t="s">
        <v>95</v>
      </c>
      <c r="D125" s="21">
        <v>1</v>
      </c>
      <c r="E125" s="17" t="str">
        <f t="shared" si="9"/>
        <v/>
      </c>
      <c r="F125" s="17">
        <f t="shared" si="10"/>
        <v>1</v>
      </c>
      <c r="G125" s="17">
        <f t="shared" si="11"/>
        <v>2</v>
      </c>
      <c r="H125" s="15" t="str">
        <f t="shared" si="12"/>
        <v/>
      </c>
      <c r="I125" s="15">
        <f t="shared" si="13"/>
        <v>0.79788456080286541</v>
      </c>
      <c r="J125" s="15">
        <f t="shared" si="14"/>
        <v>0.10798193302637613</v>
      </c>
      <c r="K125" s="15" t="str">
        <f t="shared" si="15"/>
        <v/>
      </c>
      <c r="L125" s="15">
        <f t="shared" si="16"/>
        <v>0.88079707797788243</v>
      </c>
      <c r="M125" s="15">
        <f t="shared" si="17"/>
        <v>0.11920292202211756</v>
      </c>
    </row>
    <row r="126" spans="1:14" x14ac:dyDescent="0.25">
      <c r="A126" s="17">
        <v>14</v>
      </c>
      <c r="B126" s="17">
        <v>2</v>
      </c>
      <c r="C126" s="17" t="s">
        <v>95</v>
      </c>
      <c r="D126" s="21">
        <v>2</v>
      </c>
      <c r="E126" s="17">
        <f t="shared" si="9"/>
        <v>1</v>
      </c>
      <c r="F126" s="17">
        <f t="shared" si="10"/>
        <v>2</v>
      </c>
      <c r="G126" s="17">
        <f t="shared" si="11"/>
        <v>3</v>
      </c>
      <c r="H126" s="15">
        <f t="shared" si="12"/>
        <v>0.10798193302637613</v>
      </c>
      <c r="I126" s="15">
        <f t="shared" si="13"/>
        <v>0.79788456080286541</v>
      </c>
      <c r="J126" s="15">
        <f t="shared" si="14"/>
        <v>0.10798193302637613</v>
      </c>
      <c r="K126" s="15">
        <f t="shared" si="15"/>
        <v>0.10650697891920077</v>
      </c>
      <c r="L126" s="15">
        <f t="shared" si="16"/>
        <v>0.78698604216159851</v>
      </c>
      <c r="M126" s="15">
        <f t="shared" si="17"/>
        <v>0.10650697891920077</v>
      </c>
    </row>
    <row r="127" spans="1:14" x14ac:dyDescent="0.25">
      <c r="A127" s="17">
        <v>14</v>
      </c>
      <c r="B127" s="17">
        <v>3</v>
      </c>
      <c r="C127" s="17" t="s">
        <v>95</v>
      </c>
      <c r="D127" s="21">
        <v>4</v>
      </c>
      <c r="E127" s="17">
        <f t="shared" si="9"/>
        <v>3</v>
      </c>
      <c r="F127" s="17">
        <f t="shared" si="10"/>
        <v>4</v>
      </c>
      <c r="G127" s="17">
        <f t="shared" si="11"/>
        <v>5</v>
      </c>
      <c r="H127" s="15">
        <f t="shared" si="12"/>
        <v>0.10798193302637613</v>
      </c>
      <c r="I127" s="15">
        <f t="shared" si="13"/>
        <v>0.79788456080286541</v>
      </c>
      <c r="J127" s="15">
        <f t="shared" si="14"/>
        <v>0.10798193302637613</v>
      </c>
      <c r="K127" s="15">
        <f t="shared" si="15"/>
        <v>0.10650697891920077</v>
      </c>
      <c r="L127" s="15">
        <f t="shared" si="16"/>
        <v>0.78698604216159851</v>
      </c>
      <c r="M127" s="15">
        <f t="shared" si="17"/>
        <v>0.10650697891920077</v>
      </c>
    </row>
    <row r="128" spans="1:14" x14ac:dyDescent="0.25">
      <c r="A128" s="2">
        <v>14</v>
      </c>
      <c r="B128" s="2">
        <v>1</v>
      </c>
      <c r="C128" s="2" t="s">
        <v>96</v>
      </c>
      <c r="D128" s="22">
        <v>9</v>
      </c>
      <c r="E128" s="2">
        <f t="shared" si="9"/>
        <v>8</v>
      </c>
      <c r="F128" s="2">
        <f t="shared" si="10"/>
        <v>9</v>
      </c>
      <c r="G128" s="2">
        <f t="shared" si="11"/>
        <v>10</v>
      </c>
      <c r="H128" s="16">
        <f t="shared" si="12"/>
        <v>0.10798193302637613</v>
      </c>
      <c r="I128" s="16">
        <f t="shared" si="13"/>
        <v>0.79788456080286541</v>
      </c>
      <c r="J128" s="16">
        <f t="shared" si="14"/>
        <v>0.10798193302637613</v>
      </c>
      <c r="K128" s="16">
        <f t="shared" si="15"/>
        <v>0.10650697891920077</v>
      </c>
      <c r="L128" s="16">
        <f t="shared" si="16"/>
        <v>0.78698604216159851</v>
      </c>
      <c r="M128" s="16">
        <f t="shared" si="17"/>
        <v>0.10650697891920077</v>
      </c>
    </row>
    <row r="129" spans="1:13" x14ac:dyDescent="0.25">
      <c r="A129" s="2">
        <v>14</v>
      </c>
      <c r="B129" s="2">
        <v>2</v>
      </c>
      <c r="C129" s="2" t="s">
        <v>96</v>
      </c>
      <c r="D129" s="22">
        <v>8</v>
      </c>
      <c r="E129" s="2">
        <f t="shared" si="9"/>
        <v>7</v>
      </c>
      <c r="F129" s="2">
        <f t="shared" si="10"/>
        <v>8</v>
      </c>
      <c r="G129" s="2">
        <f t="shared" si="11"/>
        <v>9</v>
      </c>
      <c r="H129" s="16">
        <f t="shared" si="12"/>
        <v>0.10798193302637613</v>
      </c>
      <c r="I129" s="16">
        <f t="shared" si="13"/>
        <v>0.79788456080286541</v>
      </c>
      <c r="J129" s="16">
        <f t="shared" si="14"/>
        <v>0.10798193302637613</v>
      </c>
      <c r="K129" s="16">
        <f t="shared" si="15"/>
        <v>0.10650697891920077</v>
      </c>
      <c r="L129" s="16">
        <f t="shared" si="16"/>
        <v>0.78698604216159851</v>
      </c>
      <c r="M129" s="16">
        <f t="shared" si="17"/>
        <v>0.10650697891920077</v>
      </c>
    </row>
    <row r="130" spans="1:13" x14ac:dyDescent="0.25">
      <c r="A130" s="2">
        <v>14</v>
      </c>
      <c r="B130" s="2">
        <v>3</v>
      </c>
      <c r="C130" s="2" t="s">
        <v>96</v>
      </c>
      <c r="D130" s="22">
        <v>6</v>
      </c>
      <c r="E130" s="2">
        <f t="shared" si="9"/>
        <v>5</v>
      </c>
      <c r="F130" s="2">
        <f t="shared" si="10"/>
        <v>6</v>
      </c>
      <c r="G130" s="2">
        <f t="shared" si="11"/>
        <v>7</v>
      </c>
      <c r="H130" s="16">
        <f t="shared" si="12"/>
        <v>0.10798193302637613</v>
      </c>
      <c r="I130" s="16">
        <f t="shared" si="13"/>
        <v>0.79788456080286541</v>
      </c>
      <c r="J130" s="16">
        <f t="shared" si="14"/>
        <v>0.10798193302637613</v>
      </c>
      <c r="K130" s="16">
        <f t="shared" si="15"/>
        <v>0.10650697891920077</v>
      </c>
      <c r="L130" s="16">
        <f t="shared" si="16"/>
        <v>0.78698604216159851</v>
      </c>
      <c r="M130" s="16">
        <f t="shared" si="17"/>
        <v>0.10650697891920077</v>
      </c>
    </row>
    <row r="131" spans="1:13" x14ac:dyDescent="0.25">
      <c r="A131" s="17">
        <v>15</v>
      </c>
      <c r="B131" s="17">
        <v>1</v>
      </c>
      <c r="C131" s="17" t="s">
        <v>94</v>
      </c>
      <c r="D131" s="21">
        <v>8</v>
      </c>
      <c r="E131" s="17">
        <f t="shared" si="9"/>
        <v>7</v>
      </c>
      <c r="F131" s="17">
        <f t="shared" si="10"/>
        <v>8</v>
      </c>
      <c r="G131" s="17">
        <f t="shared" si="11"/>
        <v>9</v>
      </c>
      <c r="H131" s="15">
        <f t="shared" si="12"/>
        <v>0.10798193302637613</v>
      </c>
      <c r="I131" s="15">
        <f t="shared" si="13"/>
        <v>0.79788456080286541</v>
      </c>
      <c r="J131" s="15">
        <f t="shared" si="14"/>
        <v>0.10798193302637613</v>
      </c>
      <c r="K131" s="15">
        <f t="shared" si="15"/>
        <v>0.10650697891920077</v>
      </c>
      <c r="L131" s="15">
        <f t="shared" si="16"/>
        <v>0.78698604216159851</v>
      </c>
      <c r="M131" s="15">
        <f t="shared" si="17"/>
        <v>0.10650697891920077</v>
      </c>
    </row>
    <row r="132" spans="1:13" x14ac:dyDescent="0.25">
      <c r="A132" s="17">
        <v>15</v>
      </c>
      <c r="B132" s="17">
        <v>2</v>
      </c>
      <c r="C132" s="17" t="s">
        <v>94</v>
      </c>
      <c r="D132" s="21">
        <v>6</v>
      </c>
      <c r="E132" s="17">
        <f t="shared" si="9"/>
        <v>5</v>
      </c>
      <c r="F132" s="17">
        <f t="shared" si="10"/>
        <v>6</v>
      </c>
      <c r="G132" s="17">
        <f t="shared" si="11"/>
        <v>7</v>
      </c>
      <c r="H132" s="15">
        <f t="shared" si="12"/>
        <v>0.10798193302637613</v>
      </c>
      <c r="I132" s="15">
        <f t="shared" si="13"/>
        <v>0.79788456080286541</v>
      </c>
      <c r="J132" s="15">
        <f t="shared" si="14"/>
        <v>0.10798193302637613</v>
      </c>
      <c r="K132" s="15">
        <f t="shared" si="15"/>
        <v>0.10650697891920077</v>
      </c>
      <c r="L132" s="15">
        <f t="shared" si="16"/>
        <v>0.78698604216159851</v>
      </c>
      <c r="M132" s="15">
        <f t="shared" si="17"/>
        <v>0.10650697891920077</v>
      </c>
    </row>
    <row r="133" spans="1:13" x14ac:dyDescent="0.25">
      <c r="A133" s="17">
        <v>15</v>
      </c>
      <c r="B133" s="17">
        <v>3</v>
      </c>
      <c r="C133" s="17" t="s">
        <v>94</v>
      </c>
      <c r="D133" s="21">
        <v>7</v>
      </c>
      <c r="E133" s="17">
        <f t="shared" si="9"/>
        <v>6</v>
      </c>
      <c r="F133" s="17">
        <f t="shared" si="10"/>
        <v>7</v>
      </c>
      <c r="G133" s="17">
        <f t="shared" si="11"/>
        <v>8</v>
      </c>
      <c r="H133" s="15">
        <f t="shared" si="12"/>
        <v>0.10798193302637613</v>
      </c>
      <c r="I133" s="15">
        <f t="shared" si="13"/>
        <v>0.79788456080286541</v>
      </c>
      <c r="J133" s="15">
        <f t="shared" si="14"/>
        <v>0.10798193302637613</v>
      </c>
      <c r="K133" s="15">
        <f t="shared" si="15"/>
        <v>0.10650697891920077</v>
      </c>
      <c r="L133" s="15">
        <f t="shared" si="16"/>
        <v>0.78698604216159851</v>
      </c>
      <c r="M133" s="15">
        <f t="shared" si="17"/>
        <v>0.10650697891920077</v>
      </c>
    </row>
    <row r="134" spans="1:13" x14ac:dyDescent="0.25">
      <c r="A134" s="2">
        <v>15</v>
      </c>
      <c r="B134" s="2">
        <v>1</v>
      </c>
      <c r="C134" s="2" t="s">
        <v>95</v>
      </c>
      <c r="D134" s="22">
        <v>1</v>
      </c>
      <c r="E134" s="2" t="str">
        <f t="shared" ref="E134:E197" si="18">IF(F134-1=0,"",F134-1)</f>
        <v/>
      </c>
      <c r="F134" s="2">
        <f t="shared" ref="F134:F197" si="19">D134</f>
        <v>1</v>
      </c>
      <c r="G134" s="2">
        <f t="shared" ref="G134:G197" si="20">IF(F134+1=11,"",F134+1)</f>
        <v>2</v>
      </c>
      <c r="H134" s="16" t="str">
        <f t="shared" ref="H134:H197" si="21">IF(E134&lt;&gt;"",(1/(0.5*SQRT(2*PI()))) * EXP(-((E134 - $D134)^2)/(2*0.5^2)),"")</f>
        <v/>
      </c>
      <c r="I134" s="16">
        <f t="shared" ref="I134:I197" si="22">(1/(0.5*SQRT(2*PI()))) * EXP(-((F134 - $D134)^2)/(2*0.5^2))</f>
        <v>0.79788456080286541</v>
      </c>
      <c r="J134" s="16">
        <f t="shared" ref="J134:J197" si="23">IF(G134&lt;&gt;"",(1/(0.5*SQRT(2*PI()))) * EXP(-((G134 - $D134)^2)/(2*0.5^2)),"")</f>
        <v>0.10798193302637613</v>
      </c>
      <c r="K134" s="16" t="str">
        <f t="shared" ref="K134:K197" si="24">IF(H134&lt;&gt;"",H134/(SUM(H134:J134)),"")</f>
        <v/>
      </c>
      <c r="L134" s="16">
        <f t="shared" ref="L134:L197" si="25">I134/SUM(H134:J134)</f>
        <v>0.88079707797788243</v>
      </c>
      <c r="M134" s="16">
        <f t="shared" ref="M134:M197" si="26">IF(J134&lt;&gt;"",J134/SUM(H134:J134),"")</f>
        <v>0.11920292202211756</v>
      </c>
    </row>
    <row r="135" spans="1:13" x14ac:dyDescent="0.25">
      <c r="A135" s="2">
        <v>15</v>
      </c>
      <c r="B135" s="2">
        <v>2</v>
      </c>
      <c r="C135" s="2" t="s">
        <v>95</v>
      </c>
      <c r="D135" s="22">
        <v>3</v>
      </c>
      <c r="E135" s="2">
        <f t="shared" si="18"/>
        <v>2</v>
      </c>
      <c r="F135" s="2">
        <f t="shared" si="19"/>
        <v>3</v>
      </c>
      <c r="G135" s="2">
        <f t="shared" si="20"/>
        <v>4</v>
      </c>
      <c r="H135" s="16">
        <f t="shared" si="21"/>
        <v>0.10798193302637613</v>
      </c>
      <c r="I135" s="16">
        <f t="shared" si="22"/>
        <v>0.79788456080286541</v>
      </c>
      <c r="J135" s="16">
        <f t="shared" si="23"/>
        <v>0.10798193302637613</v>
      </c>
      <c r="K135" s="16">
        <f t="shared" si="24"/>
        <v>0.10650697891920077</v>
      </c>
      <c r="L135" s="16">
        <f t="shared" si="25"/>
        <v>0.78698604216159851</v>
      </c>
      <c r="M135" s="16">
        <f t="shared" si="26"/>
        <v>0.10650697891920077</v>
      </c>
    </row>
    <row r="136" spans="1:13" x14ac:dyDescent="0.25">
      <c r="A136" s="2">
        <v>15</v>
      </c>
      <c r="B136" s="2">
        <v>3</v>
      </c>
      <c r="C136" s="2" t="s">
        <v>95</v>
      </c>
      <c r="D136" s="22">
        <v>4</v>
      </c>
      <c r="E136" s="2">
        <f t="shared" si="18"/>
        <v>3</v>
      </c>
      <c r="F136" s="2">
        <f t="shared" si="19"/>
        <v>4</v>
      </c>
      <c r="G136" s="2">
        <f t="shared" si="20"/>
        <v>5</v>
      </c>
      <c r="H136" s="16">
        <f t="shared" si="21"/>
        <v>0.10798193302637613</v>
      </c>
      <c r="I136" s="16">
        <f t="shared" si="22"/>
        <v>0.79788456080286541</v>
      </c>
      <c r="J136" s="16">
        <f t="shared" si="23"/>
        <v>0.10798193302637613</v>
      </c>
      <c r="K136" s="16">
        <f t="shared" si="24"/>
        <v>0.10650697891920077</v>
      </c>
      <c r="L136" s="16">
        <f t="shared" si="25"/>
        <v>0.78698604216159851</v>
      </c>
      <c r="M136" s="16">
        <f t="shared" si="26"/>
        <v>0.10650697891920077</v>
      </c>
    </row>
    <row r="137" spans="1:13" x14ac:dyDescent="0.25">
      <c r="A137" s="17">
        <v>15</v>
      </c>
      <c r="B137" s="17">
        <v>1</v>
      </c>
      <c r="C137" s="17" t="s">
        <v>96</v>
      </c>
      <c r="D137" s="21">
        <v>8</v>
      </c>
      <c r="E137" s="17">
        <f t="shared" si="18"/>
        <v>7</v>
      </c>
      <c r="F137" s="17">
        <f t="shared" si="19"/>
        <v>8</v>
      </c>
      <c r="G137" s="17">
        <f t="shared" si="20"/>
        <v>9</v>
      </c>
      <c r="H137" s="15">
        <f t="shared" si="21"/>
        <v>0.10798193302637613</v>
      </c>
      <c r="I137" s="15">
        <f t="shared" si="22"/>
        <v>0.79788456080286541</v>
      </c>
      <c r="J137" s="15">
        <f t="shared" si="23"/>
        <v>0.10798193302637613</v>
      </c>
      <c r="K137" s="15">
        <f t="shared" si="24"/>
        <v>0.10650697891920077</v>
      </c>
      <c r="L137" s="15">
        <f t="shared" si="25"/>
        <v>0.78698604216159851</v>
      </c>
      <c r="M137" s="15">
        <f t="shared" si="26"/>
        <v>0.10650697891920077</v>
      </c>
    </row>
    <row r="138" spans="1:13" x14ac:dyDescent="0.25">
      <c r="A138" s="17">
        <v>15</v>
      </c>
      <c r="B138" s="17">
        <v>2</v>
      </c>
      <c r="C138" s="17" t="s">
        <v>96</v>
      </c>
      <c r="D138" s="21">
        <v>7</v>
      </c>
      <c r="E138" s="17">
        <f t="shared" si="18"/>
        <v>6</v>
      </c>
      <c r="F138" s="17">
        <f t="shared" si="19"/>
        <v>7</v>
      </c>
      <c r="G138" s="17">
        <f t="shared" si="20"/>
        <v>8</v>
      </c>
      <c r="H138" s="15">
        <f t="shared" si="21"/>
        <v>0.10798193302637613</v>
      </c>
      <c r="I138" s="15">
        <f t="shared" si="22"/>
        <v>0.79788456080286541</v>
      </c>
      <c r="J138" s="15">
        <f t="shared" si="23"/>
        <v>0.10798193302637613</v>
      </c>
      <c r="K138" s="15">
        <f t="shared" si="24"/>
        <v>0.10650697891920077</v>
      </c>
      <c r="L138" s="15">
        <f t="shared" si="25"/>
        <v>0.78698604216159851</v>
      </c>
      <c r="M138" s="15">
        <f t="shared" si="26"/>
        <v>0.10650697891920077</v>
      </c>
    </row>
    <row r="139" spans="1:13" x14ac:dyDescent="0.25">
      <c r="A139" s="17">
        <v>15</v>
      </c>
      <c r="B139" s="17">
        <v>3</v>
      </c>
      <c r="C139" s="17" t="s">
        <v>96</v>
      </c>
      <c r="D139" s="21">
        <v>7</v>
      </c>
      <c r="E139" s="17">
        <f t="shared" si="18"/>
        <v>6</v>
      </c>
      <c r="F139" s="17">
        <f t="shared" si="19"/>
        <v>7</v>
      </c>
      <c r="G139" s="17">
        <f t="shared" si="20"/>
        <v>8</v>
      </c>
      <c r="H139" s="15">
        <f t="shared" si="21"/>
        <v>0.10798193302637613</v>
      </c>
      <c r="I139" s="15">
        <f t="shared" si="22"/>
        <v>0.79788456080286541</v>
      </c>
      <c r="J139" s="15">
        <f t="shared" si="23"/>
        <v>0.10798193302637613</v>
      </c>
      <c r="K139" s="15">
        <f t="shared" si="24"/>
        <v>0.10650697891920077</v>
      </c>
      <c r="L139" s="15">
        <f t="shared" si="25"/>
        <v>0.78698604216159851</v>
      </c>
      <c r="M139" s="15">
        <f t="shared" si="26"/>
        <v>0.10650697891920077</v>
      </c>
    </row>
    <row r="140" spans="1:13" x14ac:dyDescent="0.25">
      <c r="A140" s="2">
        <v>16</v>
      </c>
      <c r="B140" s="2">
        <v>1</v>
      </c>
      <c r="C140" s="2" t="s">
        <v>94</v>
      </c>
      <c r="D140" s="22">
        <v>2</v>
      </c>
      <c r="E140" s="2">
        <f t="shared" si="18"/>
        <v>1</v>
      </c>
      <c r="F140" s="2">
        <f t="shared" si="19"/>
        <v>2</v>
      </c>
      <c r="G140" s="2">
        <f t="shared" si="20"/>
        <v>3</v>
      </c>
      <c r="H140" s="16">
        <f t="shared" si="21"/>
        <v>0.10798193302637613</v>
      </c>
      <c r="I140" s="16">
        <f t="shared" si="22"/>
        <v>0.79788456080286541</v>
      </c>
      <c r="J140" s="16">
        <f t="shared" si="23"/>
        <v>0.10798193302637613</v>
      </c>
      <c r="K140" s="16">
        <f t="shared" si="24"/>
        <v>0.10650697891920077</v>
      </c>
      <c r="L140" s="16">
        <f t="shared" si="25"/>
        <v>0.78698604216159851</v>
      </c>
      <c r="M140" s="16">
        <f t="shared" si="26"/>
        <v>0.10650697891920077</v>
      </c>
    </row>
    <row r="141" spans="1:13" x14ac:dyDescent="0.25">
      <c r="A141" s="2">
        <v>16</v>
      </c>
      <c r="B141" s="2">
        <v>2</v>
      </c>
      <c r="C141" s="2" t="s">
        <v>94</v>
      </c>
      <c r="D141" s="22">
        <v>4</v>
      </c>
      <c r="E141" s="2">
        <f t="shared" si="18"/>
        <v>3</v>
      </c>
      <c r="F141" s="2">
        <f t="shared" si="19"/>
        <v>4</v>
      </c>
      <c r="G141" s="2">
        <f t="shared" si="20"/>
        <v>5</v>
      </c>
      <c r="H141" s="16">
        <f t="shared" si="21"/>
        <v>0.10798193302637613</v>
      </c>
      <c r="I141" s="16">
        <f t="shared" si="22"/>
        <v>0.79788456080286541</v>
      </c>
      <c r="J141" s="16">
        <f t="shared" si="23"/>
        <v>0.10798193302637613</v>
      </c>
      <c r="K141" s="16">
        <f t="shared" si="24"/>
        <v>0.10650697891920077</v>
      </c>
      <c r="L141" s="16">
        <f t="shared" si="25"/>
        <v>0.78698604216159851</v>
      </c>
      <c r="M141" s="16">
        <f t="shared" si="26"/>
        <v>0.10650697891920077</v>
      </c>
    </row>
    <row r="142" spans="1:13" x14ac:dyDescent="0.25">
      <c r="A142" s="2">
        <v>16</v>
      </c>
      <c r="B142" s="2">
        <v>3</v>
      </c>
      <c r="C142" s="2" t="s">
        <v>94</v>
      </c>
      <c r="D142" s="22">
        <v>5</v>
      </c>
      <c r="E142" s="2">
        <f t="shared" si="18"/>
        <v>4</v>
      </c>
      <c r="F142" s="2">
        <f t="shared" si="19"/>
        <v>5</v>
      </c>
      <c r="G142" s="2">
        <f t="shared" si="20"/>
        <v>6</v>
      </c>
      <c r="H142" s="16">
        <f t="shared" si="21"/>
        <v>0.10798193302637613</v>
      </c>
      <c r="I142" s="16">
        <f t="shared" si="22"/>
        <v>0.79788456080286541</v>
      </c>
      <c r="J142" s="16">
        <f t="shared" si="23"/>
        <v>0.10798193302637613</v>
      </c>
      <c r="K142" s="16">
        <f t="shared" si="24"/>
        <v>0.10650697891920077</v>
      </c>
      <c r="L142" s="16">
        <f t="shared" si="25"/>
        <v>0.78698604216159851</v>
      </c>
      <c r="M142" s="16">
        <f t="shared" si="26"/>
        <v>0.10650697891920077</v>
      </c>
    </row>
    <row r="143" spans="1:13" x14ac:dyDescent="0.25">
      <c r="A143" s="17">
        <v>16</v>
      </c>
      <c r="B143" s="17">
        <v>1</v>
      </c>
      <c r="C143" s="17" t="s">
        <v>95</v>
      </c>
      <c r="D143" s="21">
        <v>10</v>
      </c>
      <c r="E143" s="17">
        <f t="shared" si="18"/>
        <v>9</v>
      </c>
      <c r="F143" s="17">
        <f t="shared" si="19"/>
        <v>10</v>
      </c>
      <c r="G143" s="17" t="str">
        <f t="shared" si="20"/>
        <v/>
      </c>
      <c r="H143" s="15">
        <f t="shared" si="21"/>
        <v>0.10798193302637613</v>
      </c>
      <c r="I143" s="15">
        <f t="shared" si="22"/>
        <v>0.79788456080286541</v>
      </c>
      <c r="J143" s="15" t="str">
        <f t="shared" si="23"/>
        <v/>
      </c>
      <c r="K143" s="15">
        <f t="shared" si="24"/>
        <v>0.11920292202211756</v>
      </c>
      <c r="L143" s="15">
        <f t="shared" si="25"/>
        <v>0.88079707797788243</v>
      </c>
      <c r="M143" s="15" t="str">
        <f t="shared" si="26"/>
        <v/>
      </c>
    </row>
    <row r="144" spans="1:13" x14ac:dyDescent="0.25">
      <c r="A144" s="17">
        <v>16</v>
      </c>
      <c r="B144" s="17">
        <v>2</v>
      </c>
      <c r="C144" s="17" t="s">
        <v>95</v>
      </c>
      <c r="D144" s="21">
        <v>9</v>
      </c>
      <c r="E144" s="17">
        <f t="shared" si="18"/>
        <v>8</v>
      </c>
      <c r="F144" s="17">
        <f t="shared" si="19"/>
        <v>9</v>
      </c>
      <c r="G144" s="17">
        <f t="shared" si="20"/>
        <v>10</v>
      </c>
      <c r="H144" s="15">
        <f t="shared" si="21"/>
        <v>0.10798193302637613</v>
      </c>
      <c r="I144" s="15">
        <f t="shared" si="22"/>
        <v>0.79788456080286541</v>
      </c>
      <c r="J144" s="15">
        <f t="shared" si="23"/>
        <v>0.10798193302637613</v>
      </c>
      <c r="K144" s="15">
        <f t="shared" si="24"/>
        <v>0.10650697891920077</v>
      </c>
      <c r="L144" s="15">
        <f t="shared" si="25"/>
        <v>0.78698604216159851</v>
      </c>
      <c r="M144" s="15">
        <f t="shared" si="26"/>
        <v>0.10650697891920077</v>
      </c>
    </row>
    <row r="145" spans="1:14" x14ac:dyDescent="0.25">
      <c r="A145" s="18">
        <v>16</v>
      </c>
      <c r="B145" s="18">
        <v>3</v>
      </c>
      <c r="C145" s="18" t="s">
        <v>95</v>
      </c>
      <c r="D145" s="23">
        <v>4</v>
      </c>
      <c r="E145" s="18">
        <f t="shared" si="18"/>
        <v>3</v>
      </c>
      <c r="F145" s="18">
        <f t="shared" si="19"/>
        <v>4</v>
      </c>
      <c r="G145" s="18">
        <f t="shared" si="20"/>
        <v>5</v>
      </c>
      <c r="H145" s="19">
        <f t="shared" si="21"/>
        <v>0.10798193302637613</v>
      </c>
      <c r="I145" s="19">
        <f t="shared" si="22"/>
        <v>0.79788456080286541</v>
      </c>
      <c r="J145" s="19">
        <f t="shared" si="23"/>
        <v>0.10798193302637613</v>
      </c>
      <c r="K145" s="19">
        <f t="shared" si="24"/>
        <v>0.10650697891920077</v>
      </c>
      <c r="L145" s="19">
        <f t="shared" si="25"/>
        <v>0.78698604216159851</v>
      </c>
      <c r="M145" s="19">
        <f t="shared" si="26"/>
        <v>0.10650697891920077</v>
      </c>
      <c r="N145" s="20" t="s">
        <v>105</v>
      </c>
    </row>
    <row r="146" spans="1:14" x14ac:dyDescent="0.25">
      <c r="A146" s="2">
        <v>16</v>
      </c>
      <c r="B146" s="2">
        <v>1</v>
      </c>
      <c r="C146" s="2" t="s">
        <v>96</v>
      </c>
      <c r="D146" s="22">
        <v>9</v>
      </c>
      <c r="E146" s="2">
        <f t="shared" si="18"/>
        <v>8</v>
      </c>
      <c r="F146" s="2">
        <f t="shared" si="19"/>
        <v>9</v>
      </c>
      <c r="G146" s="2">
        <f t="shared" si="20"/>
        <v>10</v>
      </c>
      <c r="H146" s="16">
        <f t="shared" si="21"/>
        <v>0.10798193302637613</v>
      </c>
      <c r="I146" s="16">
        <f t="shared" si="22"/>
        <v>0.79788456080286541</v>
      </c>
      <c r="J146" s="16">
        <f t="shared" si="23"/>
        <v>0.10798193302637613</v>
      </c>
      <c r="K146" s="16">
        <f t="shared" si="24"/>
        <v>0.10650697891920077</v>
      </c>
      <c r="L146" s="16">
        <f t="shared" si="25"/>
        <v>0.78698604216159851</v>
      </c>
      <c r="M146" s="16">
        <f t="shared" si="26"/>
        <v>0.10650697891920077</v>
      </c>
    </row>
    <row r="147" spans="1:14" x14ac:dyDescent="0.25">
      <c r="A147" s="2">
        <v>16</v>
      </c>
      <c r="B147" s="2">
        <v>2</v>
      </c>
      <c r="C147" s="2" t="s">
        <v>96</v>
      </c>
      <c r="D147" s="22">
        <v>8</v>
      </c>
      <c r="E147" s="2">
        <f t="shared" si="18"/>
        <v>7</v>
      </c>
      <c r="F147" s="2">
        <f t="shared" si="19"/>
        <v>8</v>
      </c>
      <c r="G147" s="2">
        <f t="shared" si="20"/>
        <v>9</v>
      </c>
      <c r="H147" s="16">
        <f t="shared" si="21"/>
        <v>0.10798193302637613</v>
      </c>
      <c r="I147" s="16">
        <f t="shared" si="22"/>
        <v>0.79788456080286541</v>
      </c>
      <c r="J147" s="16">
        <f t="shared" si="23"/>
        <v>0.10798193302637613</v>
      </c>
      <c r="K147" s="16">
        <f t="shared" si="24"/>
        <v>0.10650697891920077</v>
      </c>
      <c r="L147" s="16">
        <f t="shared" si="25"/>
        <v>0.78698604216159851</v>
      </c>
      <c r="M147" s="16">
        <f t="shared" si="26"/>
        <v>0.10650697891920077</v>
      </c>
    </row>
    <row r="148" spans="1:14" x14ac:dyDescent="0.25">
      <c r="A148" s="2">
        <v>16</v>
      </c>
      <c r="B148" s="2">
        <v>3</v>
      </c>
      <c r="C148" s="2" t="s">
        <v>96</v>
      </c>
      <c r="D148" s="22">
        <v>6</v>
      </c>
      <c r="E148" s="2">
        <f t="shared" si="18"/>
        <v>5</v>
      </c>
      <c r="F148" s="2">
        <f t="shared" si="19"/>
        <v>6</v>
      </c>
      <c r="G148" s="2">
        <f t="shared" si="20"/>
        <v>7</v>
      </c>
      <c r="H148" s="16">
        <f t="shared" si="21"/>
        <v>0.10798193302637613</v>
      </c>
      <c r="I148" s="16">
        <f t="shared" si="22"/>
        <v>0.79788456080286541</v>
      </c>
      <c r="J148" s="16">
        <f t="shared" si="23"/>
        <v>0.10798193302637613</v>
      </c>
      <c r="K148" s="16">
        <f t="shared" si="24"/>
        <v>0.10650697891920077</v>
      </c>
      <c r="L148" s="16">
        <f t="shared" si="25"/>
        <v>0.78698604216159851</v>
      </c>
      <c r="M148" s="16">
        <f t="shared" si="26"/>
        <v>0.10650697891920077</v>
      </c>
    </row>
    <row r="149" spans="1:14" x14ac:dyDescent="0.25">
      <c r="A149" s="17">
        <v>17</v>
      </c>
      <c r="B149" s="17">
        <v>1</v>
      </c>
      <c r="C149" s="17" t="s">
        <v>94</v>
      </c>
      <c r="D149" s="21">
        <v>2</v>
      </c>
      <c r="E149" s="17">
        <f t="shared" si="18"/>
        <v>1</v>
      </c>
      <c r="F149" s="17">
        <f t="shared" si="19"/>
        <v>2</v>
      </c>
      <c r="G149" s="17">
        <f t="shared" si="20"/>
        <v>3</v>
      </c>
      <c r="H149" s="15">
        <f t="shared" si="21"/>
        <v>0.10798193302637613</v>
      </c>
      <c r="I149" s="15">
        <f t="shared" si="22"/>
        <v>0.79788456080286541</v>
      </c>
      <c r="J149" s="15">
        <f t="shared" si="23"/>
        <v>0.10798193302637613</v>
      </c>
      <c r="K149" s="15">
        <f t="shared" si="24"/>
        <v>0.10650697891920077</v>
      </c>
      <c r="L149" s="15">
        <f t="shared" si="25"/>
        <v>0.78698604216159851</v>
      </c>
      <c r="M149" s="15">
        <f t="shared" si="26"/>
        <v>0.10650697891920077</v>
      </c>
    </row>
    <row r="150" spans="1:14" x14ac:dyDescent="0.25">
      <c r="A150" s="17">
        <v>17</v>
      </c>
      <c r="B150" s="17">
        <v>2</v>
      </c>
      <c r="C150" s="17" t="s">
        <v>94</v>
      </c>
      <c r="D150" s="21">
        <v>2</v>
      </c>
      <c r="E150" s="17">
        <f t="shared" si="18"/>
        <v>1</v>
      </c>
      <c r="F150" s="17">
        <f t="shared" si="19"/>
        <v>2</v>
      </c>
      <c r="G150" s="17">
        <f t="shared" si="20"/>
        <v>3</v>
      </c>
      <c r="H150" s="15">
        <f t="shared" si="21"/>
        <v>0.10798193302637613</v>
      </c>
      <c r="I150" s="15">
        <f t="shared" si="22"/>
        <v>0.79788456080286541</v>
      </c>
      <c r="J150" s="15">
        <f t="shared" si="23"/>
        <v>0.10798193302637613</v>
      </c>
      <c r="K150" s="15">
        <f t="shared" si="24"/>
        <v>0.10650697891920077</v>
      </c>
      <c r="L150" s="15">
        <f t="shared" si="25"/>
        <v>0.78698604216159851</v>
      </c>
      <c r="M150" s="15">
        <f t="shared" si="26"/>
        <v>0.10650697891920077</v>
      </c>
    </row>
    <row r="151" spans="1:14" x14ac:dyDescent="0.25">
      <c r="A151" s="18">
        <v>17</v>
      </c>
      <c r="B151" s="18">
        <v>3</v>
      </c>
      <c r="C151" s="18" t="s">
        <v>94</v>
      </c>
      <c r="D151" s="23">
        <v>5</v>
      </c>
      <c r="E151" s="18">
        <f t="shared" si="18"/>
        <v>4</v>
      </c>
      <c r="F151" s="18">
        <f t="shared" si="19"/>
        <v>5</v>
      </c>
      <c r="G151" s="18">
        <f t="shared" si="20"/>
        <v>6</v>
      </c>
      <c r="H151" s="19">
        <f t="shared" si="21"/>
        <v>0.10798193302637613</v>
      </c>
      <c r="I151" s="19">
        <f t="shared" si="22"/>
        <v>0.79788456080286541</v>
      </c>
      <c r="J151" s="19">
        <f t="shared" si="23"/>
        <v>0.10798193302637613</v>
      </c>
      <c r="K151" s="19">
        <f t="shared" si="24"/>
        <v>0.10650697891920077</v>
      </c>
      <c r="L151" s="19">
        <f t="shared" si="25"/>
        <v>0.78698604216159851</v>
      </c>
      <c r="M151" s="19">
        <f t="shared" si="26"/>
        <v>0.10650697891920077</v>
      </c>
      <c r="N151" s="20" t="s">
        <v>105</v>
      </c>
    </row>
    <row r="152" spans="1:14" x14ac:dyDescent="0.25">
      <c r="A152" s="2">
        <v>17</v>
      </c>
      <c r="B152" s="2">
        <v>1</v>
      </c>
      <c r="C152" s="2" t="s">
        <v>95</v>
      </c>
      <c r="D152" s="22">
        <v>3</v>
      </c>
      <c r="E152" s="2">
        <f t="shared" si="18"/>
        <v>2</v>
      </c>
      <c r="F152" s="2">
        <f t="shared" si="19"/>
        <v>3</v>
      </c>
      <c r="G152" s="2">
        <f t="shared" si="20"/>
        <v>4</v>
      </c>
      <c r="H152" s="16">
        <f t="shared" si="21"/>
        <v>0.10798193302637613</v>
      </c>
      <c r="I152" s="16">
        <f t="shared" si="22"/>
        <v>0.79788456080286541</v>
      </c>
      <c r="J152" s="16">
        <f t="shared" si="23"/>
        <v>0.10798193302637613</v>
      </c>
      <c r="K152" s="16">
        <f t="shared" si="24"/>
        <v>0.10650697891920077</v>
      </c>
      <c r="L152" s="16">
        <f t="shared" si="25"/>
        <v>0.78698604216159851</v>
      </c>
      <c r="M152" s="16">
        <f t="shared" si="26"/>
        <v>0.10650697891920077</v>
      </c>
    </row>
    <row r="153" spans="1:14" x14ac:dyDescent="0.25">
      <c r="A153" s="2">
        <v>17</v>
      </c>
      <c r="B153" s="2">
        <v>2</v>
      </c>
      <c r="C153" s="2" t="s">
        <v>95</v>
      </c>
      <c r="D153" s="22">
        <v>5</v>
      </c>
      <c r="E153" s="2">
        <f t="shared" si="18"/>
        <v>4</v>
      </c>
      <c r="F153" s="2">
        <f t="shared" si="19"/>
        <v>5</v>
      </c>
      <c r="G153" s="2">
        <f t="shared" si="20"/>
        <v>6</v>
      </c>
      <c r="H153" s="16">
        <f t="shared" si="21"/>
        <v>0.10798193302637613</v>
      </c>
      <c r="I153" s="16">
        <f t="shared" si="22"/>
        <v>0.79788456080286541</v>
      </c>
      <c r="J153" s="16">
        <f t="shared" si="23"/>
        <v>0.10798193302637613</v>
      </c>
      <c r="K153" s="16">
        <f t="shared" si="24"/>
        <v>0.10650697891920077</v>
      </c>
      <c r="L153" s="16">
        <f t="shared" si="25"/>
        <v>0.78698604216159851</v>
      </c>
      <c r="M153" s="16">
        <f t="shared" si="26"/>
        <v>0.10650697891920077</v>
      </c>
    </row>
    <row r="154" spans="1:14" x14ac:dyDescent="0.25">
      <c r="A154" s="2">
        <v>17</v>
      </c>
      <c r="B154" s="2">
        <v>3</v>
      </c>
      <c r="C154" s="2" t="s">
        <v>95</v>
      </c>
      <c r="D154" s="22">
        <v>3</v>
      </c>
      <c r="E154" s="2">
        <f t="shared" si="18"/>
        <v>2</v>
      </c>
      <c r="F154" s="2">
        <f t="shared" si="19"/>
        <v>3</v>
      </c>
      <c r="G154" s="2">
        <f t="shared" si="20"/>
        <v>4</v>
      </c>
      <c r="H154" s="16">
        <f t="shared" si="21"/>
        <v>0.10798193302637613</v>
      </c>
      <c r="I154" s="16">
        <f t="shared" si="22"/>
        <v>0.79788456080286541</v>
      </c>
      <c r="J154" s="16">
        <f t="shared" si="23"/>
        <v>0.10798193302637613</v>
      </c>
      <c r="K154" s="16">
        <f t="shared" si="24"/>
        <v>0.10650697891920077</v>
      </c>
      <c r="L154" s="16">
        <f t="shared" si="25"/>
        <v>0.78698604216159851</v>
      </c>
      <c r="M154" s="16">
        <f t="shared" si="26"/>
        <v>0.10650697891920077</v>
      </c>
    </row>
    <row r="155" spans="1:14" x14ac:dyDescent="0.25">
      <c r="A155" s="17">
        <v>17</v>
      </c>
      <c r="B155" s="17">
        <v>1</v>
      </c>
      <c r="C155" s="17" t="s">
        <v>96</v>
      </c>
      <c r="D155" s="21">
        <v>8</v>
      </c>
      <c r="E155" s="17">
        <f t="shared" si="18"/>
        <v>7</v>
      </c>
      <c r="F155" s="17">
        <f t="shared" si="19"/>
        <v>8</v>
      </c>
      <c r="G155" s="17">
        <f t="shared" si="20"/>
        <v>9</v>
      </c>
      <c r="H155" s="15">
        <f t="shared" si="21"/>
        <v>0.10798193302637613</v>
      </c>
      <c r="I155" s="15">
        <f t="shared" si="22"/>
        <v>0.79788456080286541</v>
      </c>
      <c r="J155" s="15">
        <f t="shared" si="23"/>
        <v>0.10798193302637613</v>
      </c>
      <c r="K155" s="15">
        <f t="shared" si="24"/>
        <v>0.10650697891920077</v>
      </c>
      <c r="L155" s="15">
        <f t="shared" si="25"/>
        <v>0.78698604216159851</v>
      </c>
      <c r="M155" s="15">
        <f t="shared" si="26"/>
        <v>0.10650697891920077</v>
      </c>
    </row>
    <row r="156" spans="1:14" x14ac:dyDescent="0.25">
      <c r="A156" s="17">
        <v>17</v>
      </c>
      <c r="B156" s="17">
        <v>2</v>
      </c>
      <c r="C156" s="17" t="s">
        <v>96</v>
      </c>
      <c r="D156" s="21">
        <v>9</v>
      </c>
      <c r="E156" s="17">
        <f t="shared" si="18"/>
        <v>8</v>
      </c>
      <c r="F156" s="17">
        <f t="shared" si="19"/>
        <v>9</v>
      </c>
      <c r="G156" s="17">
        <f t="shared" si="20"/>
        <v>10</v>
      </c>
      <c r="H156" s="15">
        <f t="shared" si="21"/>
        <v>0.10798193302637613</v>
      </c>
      <c r="I156" s="15">
        <f t="shared" si="22"/>
        <v>0.79788456080286541</v>
      </c>
      <c r="J156" s="15">
        <f t="shared" si="23"/>
        <v>0.10798193302637613</v>
      </c>
      <c r="K156" s="15">
        <f t="shared" si="24"/>
        <v>0.10650697891920077</v>
      </c>
      <c r="L156" s="15">
        <f t="shared" si="25"/>
        <v>0.78698604216159851</v>
      </c>
      <c r="M156" s="15">
        <f t="shared" si="26"/>
        <v>0.10650697891920077</v>
      </c>
    </row>
    <row r="157" spans="1:14" x14ac:dyDescent="0.25">
      <c r="A157" s="17">
        <v>17</v>
      </c>
      <c r="B157" s="17">
        <v>3</v>
      </c>
      <c r="C157" s="17" t="s">
        <v>96</v>
      </c>
      <c r="D157" s="21">
        <v>7</v>
      </c>
      <c r="E157" s="17">
        <f t="shared" si="18"/>
        <v>6</v>
      </c>
      <c r="F157" s="17">
        <f t="shared" si="19"/>
        <v>7</v>
      </c>
      <c r="G157" s="17">
        <f t="shared" si="20"/>
        <v>8</v>
      </c>
      <c r="H157" s="15">
        <f t="shared" si="21"/>
        <v>0.10798193302637613</v>
      </c>
      <c r="I157" s="15">
        <f t="shared" si="22"/>
        <v>0.79788456080286541</v>
      </c>
      <c r="J157" s="15">
        <f t="shared" si="23"/>
        <v>0.10798193302637613</v>
      </c>
      <c r="K157" s="15">
        <f t="shared" si="24"/>
        <v>0.10650697891920077</v>
      </c>
      <c r="L157" s="15">
        <f t="shared" si="25"/>
        <v>0.78698604216159851</v>
      </c>
      <c r="M157" s="15">
        <f t="shared" si="26"/>
        <v>0.10650697891920077</v>
      </c>
    </row>
    <row r="158" spans="1:14" x14ac:dyDescent="0.25">
      <c r="A158" s="2">
        <v>18</v>
      </c>
      <c r="B158" s="2">
        <v>1</v>
      </c>
      <c r="C158" s="2" t="s">
        <v>94</v>
      </c>
      <c r="D158" s="22">
        <v>4</v>
      </c>
      <c r="E158" s="2">
        <f t="shared" si="18"/>
        <v>3</v>
      </c>
      <c r="F158" s="2">
        <f t="shared" si="19"/>
        <v>4</v>
      </c>
      <c r="G158" s="2">
        <f t="shared" si="20"/>
        <v>5</v>
      </c>
      <c r="H158" s="16">
        <f t="shared" si="21"/>
        <v>0.10798193302637613</v>
      </c>
      <c r="I158" s="16">
        <f t="shared" si="22"/>
        <v>0.79788456080286541</v>
      </c>
      <c r="J158" s="16">
        <f t="shared" si="23"/>
        <v>0.10798193302637613</v>
      </c>
      <c r="K158" s="16">
        <f t="shared" si="24"/>
        <v>0.10650697891920077</v>
      </c>
      <c r="L158" s="16">
        <f t="shared" si="25"/>
        <v>0.78698604216159851</v>
      </c>
      <c r="M158" s="16">
        <f t="shared" si="26"/>
        <v>0.10650697891920077</v>
      </c>
    </row>
    <row r="159" spans="1:14" x14ac:dyDescent="0.25">
      <c r="A159" s="2">
        <v>18</v>
      </c>
      <c r="B159" s="2">
        <v>2</v>
      </c>
      <c r="C159" s="2" t="s">
        <v>94</v>
      </c>
      <c r="D159" s="22">
        <v>5</v>
      </c>
      <c r="E159" s="2">
        <f t="shared" si="18"/>
        <v>4</v>
      </c>
      <c r="F159" s="2">
        <f t="shared" si="19"/>
        <v>5</v>
      </c>
      <c r="G159" s="2">
        <f t="shared" si="20"/>
        <v>6</v>
      </c>
      <c r="H159" s="16">
        <f t="shared" si="21"/>
        <v>0.10798193302637613</v>
      </c>
      <c r="I159" s="16">
        <f t="shared" si="22"/>
        <v>0.79788456080286541</v>
      </c>
      <c r="J159" s="16">
        <f t="shared" si="23"/>
        <v>0.10798193302637613</v>
      </c>
      <c r="K159" s="16">
        <f t="shared" si="24"/>
        <v>0.10650697891920077</v>
      </c>
      <c r="L159" s="16">
        <f t="shared" si="25"/>
        <v>0.78698604216159851</v>
      </c>
      <c r="M159" s="16">
        <f t="shared" si="26"/>
        <v>0.10650697891920077</v>
      </c>
    </row>
    <row r="160" spans="1:14" x14ac:dyDescent="0.25">
      <c r="A160" s="2">
        <v>18</v>
      </c>
      <c r="B160" s="2">
        <v>3</v>
      </c>
      <c r="C160" s="2" t="s">
        <v>94</v>
      </c>
      <c r="D160" s="22">
        <v>7</v>
      </c>
      <c r="E160" s="2">
        <f t="shared" si="18"/>
        <v>6</v>
      </c>
      <c r="F160" s="2">
        <f t="shared" si="19"/>
        <v>7</v>
      </c>
      <c r="G160" s="2">
        <f t="shared" si="20"/>
        <v>8</v>
      </c>
      <c r="H160" s="16">
        <f t="shared" si="21"/>
        <v>0.10798193302637613</v>
      </c>
      <c r="I160" s="16">
        <f t="shared" si="22"/>
        <v>0.79788456080286541</v>
      </c>
      <c r="J160" s="16">
        <f t="shared" si="23"/>
        <v>0.10798193302637613</v>
      </c>
      <c r="K160" s="16">
        <f t="shared" si="24"/>
        <v>0.10650697891920077</v>
      </c>
      <c r="L160" s="16">
        <f t="shared" si="25"/>
        <v>0.78698604216159851</v>
      </c>
      <c r="M160" s="16">
        <f t="shared" si="26"/>
        <v>0.10650697891920077</v>
      </c>
    </row>
    <row r="161" spans="1:14" x14ac:dyDescent="0.25">
      <c r="A161" s="17">
        <v>18</v>
      </c>
      <c r="B161" s="17">
        <v>1</v>
      </c>
      <c r="C161" s="17" t="s">
        <v>95</v>
      </c>
      <c r="D161" s="21">
        <v>5</v>
      </c>
      <c r="E161" s="17">
        <f t="shared" si="18"/>
        <v>4</v>
      </c>
      <c r="F161" s="17">
        <f t="shared" si="19"/>
        <v>5</v>
      </c>
      <c r="G161" s="17">
        <f t="shared" si="20"/>
        <v>6</v>
      </c>
      <c r="H161" s="15">
        <f t="shared" si="21"/>
        <v>0.10798193302637613</v>
      </c>
      <c r="I161" s="15">
        <f t="shared" si="22"/>
        <v>0.79788456080286541</v>
      </c>
      <c r="J161" s="15">
        <f t="shared" si="23"/>
        <v>0.10798193302637613</v>
      </c>
      <c r="K161" s="15">
        <f t="shared" si="24"/>
        <v>0.10650697891920077</v>
      </c>
      <c r="L161" s="15">
        <f t="shared" si="25"/>
        <v>0.78698604216159851</v>
      </c>
      <c r="M161" s="15">
        <f t="shared" si="26"/>
        <v>0.10650697891920077</v>
      </c>
    </row>
    <row r="162" spans="1:14" x14ac:dyDescent="0.25">
      <c r="A162" s="17">
        <v>18</v>
      </c>
      <c r="B162" s="17">
        <v>2</v>
      </c>
      <c r="C162" s="17" t="s">
        <v>95</v>
      </c>
      <c r="D162" s="21">
        <v>6</v>
      </c>
      <c r="E162" s="17">
        <f t="shared" si="18"/>
        <v>5</v>
      </c>
      <c r="F162" s="17">
        <f t="shared" si="19"/>
        <v>6</v>
      </c>
      <c r="G162" s="17">
        <f t="shared" si="20"/>
        <v>7</v>
      </c>
      <c r="H162" s="15">
        <f t="shared" si="21"/>
        <v>0.10798193302637613</v>
      </c>
      <c r="I162" s="15">
        <f t="shared" si="22"/>
        <v>0.79788456080286541</v>
      </c>
      <c r="J162" s="15">
        <f t="shared" si="23"/>
        <v>0.10798193302637613</v>
      </c>
      <c r="K162" s="15">
        <f t="shared" si="24"/>
        <v>0.10650697891920077</v>
      </c>
      <c r="L162" s="15">
        <f t="shared" si="25"/>
        <v>0.78698604216159851</v>
      </c>
      <c r="M162" s="15">
        <f t="shared" si="26"/>
        <v>0.10650697891920077</v>
      </c>
    </row>
    <row r="163" spans="1:14" x14ac:dyDescent="0.25">
      <c r="A163" s="17">
        <v>18</v>
      </c>
      <c r="B163" s="17">
        <v>3</v>
      </c>
      <c r="C163" s="17" t="s">
        <v>95</v>
      </c>
      <c r="D163" s="21">
        <v>6</v>
      </c>
      <c r="E163" s="17">
        <f t="shared" si="18"/>
        <v>5</v>
      </c>
      <c r="F163" s="17">
        <f t="shared" si="19"/>
        <v>6</v>
      </c>
      <c r="G163" s="17">
        <f t="shared" si="20"/>
        <v>7</v>
      </c>
      <c r="H163" s="15">
        <f t="shared" si="21"/>
        <v>0.10798193302637613</v>
      </c>
      <c r="I163" s="15">
        <f t="shared" si="22"/>
        <v>0.79788456080286541</v>
      </c>
      <c r="J163" s="15">
        <f t="shared" si="23"/>
        <v>0.10798193302637613</v>
      </c>
      <c r="K163" s="15">
        <f t="shared" si="24"/>
        <v>0.10650697891920077</v>
      </c>
      <c r="L163" s="15">
        <f t="shared" si="25"/>
        <v>0.78698604216159851</v>
      </c>
      <c r="M163" s="15">
        <f t="shared" si="26"/>
        <v>0.10650697891920077</v>
      </c>
    </row>
    <row r="164" spans="1:14" x14ac:dyDescent="0.25">
      <c r="A164" s="2">
        <v>18</v>
      </c>
      <c r="B164" s="2">
        <v>1</v>
      </c>
      <c r="C164" s="2" t="s">
        <v>96</v>
      </c>
      <c r="D164" s="22">
        <v>7</v>
      </c>
      <c r="E164" s="2">
        <f t="shared" si="18"/>
        <v>6</v>
      </c>
      <c r="F164" s="2">
        <f t="shared" si="19"/>
        <v>7</v>
      </c>
      <c r="G164" s="2">
        <f t="shared" si="20"/>
        <v>8</v>
      </c>
      <c r="H164" s="16">
        <f t="shared" si="21"/>
        <v>0.10798193302637613</v>
      </c>
      <c r="I164" s="16">
        <f t="shared" si="22"/>
        <v>0.79788456080286541</v>
      </c>
      <c r="J164" s="16">
        <f t="shared" si="23"/>
        <v>0.10798193302637613</v>
      </c>
      <c r="K164" s="16">
        <f t="shared" si="24"/>
        <v>0.10650697891920077</v>
      </c>
      <c r="L164" s="16">
        <f t="shared" si="25"/>
        <v>0.78698604216159851</v>
      </c>
      <c r="M164" s="16">
        <f t="shared" si="26"/>
        <v>0.10650697891920077</v>
      </c>
    </row>
    <row r="165" spans="1:14" x14ac:dyDescent="0.25">
      <c r="A165" s="2">
        <v>18</v>
      </c>
      <c r="B165" s="2">
        <v>2</v>
      </c>
      <c r="C165" s="2" t="s">
        <v>96</v>
      </c>
      <c r="D165" s="22">
        <v>9</v>
      </c>
      <c r="E165" s="2">
        <f t="shared" si="18"/>
        <v>8</v>
      </c>
      <c r="F165" s="2">
        <f t="shared" si="19"/>
        <v>9</v>
      </c>
      <c r="G165" s="2">
        <f t="shared" si="20"/>
        <v>10</v>
      </c>
      <c r="H165" s="16">
        <f t="shared" si="21"/>
        <v>0.10798193302637613</v>
      </c>
      <c r="I165" s="16">
        <f t="shared" si="22"/>
        <v>0.79788456080286541</v>
      </c>
      <c r="J165" s="16">
        <f t="shared" si="23"/>
        <v>0.10798193302637613</v>
      </c>
      <c r="K165" s="16">
        <f t="shared" si="24"/>
        <v>0.10650697891920077</v>
      </c>
      <c r="L165" s="16">
        <f t="shared" si="25"/>
        <v>0.78698604216159851</v>
      </c>
      <c r="M165" s="16">
        <f t="shared" si="26"/>
        <v>0.10650697891920077</v>
      </c>
    </row>
    <row r="166" spans="1:14" x14ac:dyDescent="0.25">
      <c r="A166" s="2">
        <v>18</v>
      </c>
      <c r="B166" s="2">
        <v>3</v>
      </c>
      <c r="C166" s="2" t="s">
        <v>96</v>
      </c>
      <c r="D166" s="22">
        <v>9</v>
      </c>
      <c r="E166" s="2">
        <f t="shared" si="18"/>
        <v>8</v>
      </c>
      <c r="F166" s="2">
        <f t="shared" si="19"/>
        <v>9</v>
      </c>
      <c r="G166" s="2">
        <f t="shared" si="20"/>
        <v>10</v>
      </c>
      <c r="H166" s="16">
        <f t="shared" si="21"/>
        <v>0.10798193302637613</v>
      </c>
      <c r="I166" s="16">
        <f t="shared" si="22"/>
        <v>0.79788456080286541</v>
      </c>
      <c r="J166" s="16">
        <f t="shared" si="23"/>
        <v>0.10798193302637613</v>
      </c>
      <c r="K166" s="16">
        <f t="shared" si="24"/>
        <v>0.10650697891920077</v>
      </c>
      <c r="L166" s="16">
        <f t="shared" si="25"/>
        <v>0.78698604216159851</v>
      </c>
      <c r="M166" s="16">
        <f t="shared" si="26"/>
        <v>0.10650697891920077</v>
      </c>
    </row>
    <row r="167" spans="1:14" x14ac:dyDescent="0.25">
      <c r="A167" s="17">
        <v>19</v>
      </c>
      <c r="B167" s="17">
        <v>1</v>
      </c>
      <c r="C167" s="17" t="s">
        <v>94</v>
      </c>
      <c r="D167" s="21">
        <v>5</v>
      </c>
      <c r="E167" s="17">
        <f t="shared" si="18"/>
        <v>4</v>
      </c>
      <c r="F167" s="17">
        <f t="shared" si="19"/>
        <v>5</v>
      </c>
      <c r="G167" s="17">
        <f t="shared" si="20"/>
        <v>6</v>
      </c>
      <c r="H167" s="15">
        <f t="shared" si="21"/>
        <v>0.10798193302637613</v>
      </c>
      <c r="I167" s="15">
        <f t="shared" si="22"/>
        <v>0.79788456080286541</v>
      </c>
      <c r="J167" s="15">
        <f t="shared" si="23"/>
        <v>0.10798193302637613</v>
      </c>
      <c r="K167" s="15">
        <f t="shared" si="24"/>
        <v>0.10650697891920077</v>
      </c>
      <c r="L167" s="15">
        <f t="shared" si="25"/>
        <v>0.78698604216159851</v>
      </c>
      <c r="M167" s="15">
        <f t="shared" si="26"/>
        <v>0.10650697891920077</v>
      </c>
    </row>
    <row r="168" spans="1:14" x14ac:dyDescent="0.25">
      <c r="A168" s="17">
        <v>19</v>
      </c>
      <c r="B168" s="17">
        <v>2</v>
      </c>
      <c r="C168" s="17" t="s">
        <v>94</v>
      </c>
      <c r="D168" s="21">
        <v>2</v>
      </c>
      <c r="E168" s="17">
        <f t="shared" si="18"/>
        <v>1</v>
      </c>
      <c r="F168" s="17">
        <f t="shared" si="19"/>
        <v>2</v>
      </c>
      <c r="G168" s="17">
        <f t="shared" si="20"/>
        <v>3</v>
      </c>
      <c r="H168" s="15">
        <f t="shared" si="21"/>
        <v>0.10798193302637613</v>
      </c>
      <c r="I168" s="15">
        <f t="shared" si="22"/>
        <v>0.79788456080286541</v>
      </c>
      <c r="J168" s="15">
        <f t="shared" si="23"/>
        <v>0.10798193302637613</v>
      </c>
      <c r="K168" s="15">
        <f t="shared" si="24"/>
        <v>0.10650697891920077</v>
      </c>
      <c r="L168" s="15">
        <f t="shared" si="25"/>
        <v>0.78698604216159851</v>
      </c>
      <c r="M168" s="15">
        <f t="shared" si="26"/>
        <v>0.10650697891920077</v>
      </c>
    </row>
    <row r="169" spans="1:14" x14ac:dyDescent="0.25">
      <c r="A169" s="17">
        <v>19</v>
      </c>
      <c r="B169" s="17">
        <v>3</v>
      </c>
      <c r="C169" s="17" t="s">
        <v>94</v>
      </c>
      <c r="D169" s="21">
        <v>4</v>
      </c>
      <c r="E169" s="17">
        <f t="shared" si="18"/>
        <v>3</v>
      </c>
      <c r="F169" s="17">
        <f t="shared" si="19"/>
        <v>4</v>
      </c>
      <c r="G169" s="17">
        <f t="shared" si="20"/>
        <v>5</v>
      </c>
      <c r="H169" s="15">
        <f t="shared" si="21"/>
        <v>0.10798193302637613</v>
      </c>
      <c r="I169" s="15">
        <f t="shared" si="22"/>
        <v>0.79788456080286541</v>
      </c>
      <c r="J169" s="15">
        <f t="shared" si="23"/>
        <v>0.10798193302637613</v>
      </c>
      <c r="K169" s="15">
        <f t="shared" si="24"/>
        <v>0.10650697891920077</v>
      </c>
      <c r="L169" s="15">
        <f t="shared" si="25"/>
        <v>0.78698604216159851</v>
      </c>
      <c r="M169" s="15">
        <f t="shared" si="26"/>
        <v>0.10650697891920077</v>
      </c>
    </row>
    <row r="170" spans="1:14" x14ac:dyDescent="0.25">
      <c r="A170" s="18">
        <v>19</v>
      </c>
      <c r="B170" s="18">
        <v>1</v>
      </c>
      <c r="C170" s="18" t="s">
        <v>95</v>
      </c>
      <c r="D170" s="23">
        <v>8</v>
      </c>
      <c r="E170" s="18">
        <f t="shared" si="18"/>
        <v>7</v>
      </c>
      <c r="F170" s="18">
        <f t="shared" si="19"/>
        <v>8</v>
      </c>
      <c r="G170" s="18">
        <f t="shared" si="20"/>
        <v>9</v>
      </c>
      <c r="H170" s="19">
        <f t="shared" si="21"/>
        <v>0.10798193302637613</v>
      </c>
      <c r="I170" s="19">
        <f t="shared" si="22"/>
        <v>0.79788456080286541</v>
      </c>
      <c r="J170" s="19">
        <f t="shared" si="23"/>
        <v>0.10798193302637613</v>
      </c>
      <c r="K170" s="19">
        <f t="shared" si="24"/>
        <v>0.10650697891920077</v>
      </c>
      <c r="L170" s="19">
        <f t="shared" si="25"/>
        <v>0.78698604216159851</v>
      </c>
      <c r="M170" s="19">
        <f t="shared" si="26"/>
        <v>0.10650697891920077</v>
      </c>
      <c r="N170" s="20" t="s">
        <v>105</v>
      </c>
    </row>
    <row r="171" spans="1:14" x14ac:dyDescent="0.25">
      <c r="A171" s="2">
        <v>19</v>
      </c>
      <c r="B171" s="2">
        <v>2</v>
      </c>
      <c r="C171" s="2" t="s">
        <v>95</v>
      </c>
      <c r="D171" s="22">
        <v>5</v>
      </c>
      <c r="E171" s="2">
        <f t="shared" si="18"/>
        <v>4</v>
      </c>
      <c r="F171" s="2">
        <f t="shared" si="19"/>
        <v>5</v>
      </c>
      <c r="G171" s="2">
        <f t="shared" si="20"/>
        <v>6</v>
      </c>
      <c r="H171" s="16">
        <f t="shared" si="21"/>
        <v>0.10798193302637613</v>
      </c>
      <c r="I171" s="16">
        <f t="shared" si="22"/>
        <v>0.79788456080286541</v>
      </c>
      <c r="J171" s="16">
        <f t="shared" si="23"/>
        <v>0.10798193302637613</v>
      </c>
      <c r="K171" s="16">
        <f t="shared" si="24"/>
        <v>0.10650697891920077</v>
      </c>
      <c r="L171" s="16">
        <f t="shared" si="25"/>
        <v>0.78698604216159851</v>
      </c>
      <c r="M171" s="16">
        <f t="shared" si="26"/>
        <v>0.10650697891920077</v>
      </c>
    </row>
    <row r="172" spans="1:14" x14ac:dyDescent="0.25">
      <c r="A172" s="2">
        <v>19</v>
      </c>
      <c r="B172" s="2">
        <v>3</v>
      </c>
      <c r="C172" s="2" t="s">
        <v>95</v>
      </c>
      <c r="D172" s="22">
        <v>5</v>
      </c>
      <c r="E172" s="2">
        <f t="shared" si="18"/>
        <v>4</v>
      </c>
      <c r="F172" s="2">
        <f t="shared" si="19"/>
        <v>5</v>
      </c>
      <c r="G172" s="2">
        <f t="shared" si="20"/>
        <v>6</v>
      </c>
      <c r="H172" s="16">
        <f t="shared" si="21"/>
        <v>0.10798193302637613</v>
      </c>
      <c r="I172" s="16">
        <f t="shared" si="22"/>
        <v>0.79788456080286541</v>
      </c>
      <c r="J172" s="16">
        <f t="shared" si="23"/>
        <v>0.10798193302637613</v>
      </c>
      <c r="K172" s="16">
        <f t="shared" si="24"/>
        <v>0.10650697891920077</v>
      </c>
      <c r="L172" s="16">
        <f t="shared" si="25"/>
        <v>0.78698604216159851</v>
      </c>
      <c r="M172" s="16">
        <f t="shared" si="26"/>
        <v>0.10650697891920077</v>
      </c>
    </row>
    <row r="173" spans="1:14" x14ac:dyDescent="0.25">
      <c r="A173" s="17">
        <v>19</v>
      </c>
      <c r="B173" s="17">
        <v>1</v>
      </c>
      <c r="C173" s="17" t="s">
        <v>96</v>
      </c>
      <c r="D173" s="21">
        <v>8</v>
      </c>
      <c r="E173" s="17">
        <f t="shared" si="18"/>
        <v>7</v>
      </c>
      <c r="F173" s="17">
        <f t="shared" si="19"/>
        <v>8</v>
      </c>
      <c r="G173" s="17">
        <f t="shared" si="20"/>
        <v>9</v>
      </c>
      <c r="H173" s="15">
        <f t="shared" si="21"/>
        <v>0.10798193302637613</v>
      </c>
      <c r="I173" s="15">
        <f t="shared" si="22"/>
        <v>0.79788456080286541</v>
      </c>
      <c r="J173" s="15">
        <f t="shared" si="23"/>
        <v>0.10798193302637613</v>
      </c>
      <c r="K173" s="15">
        <f t="shared" si="24"/>
        <v>0.10650697891920077</v>
      </c>
      <c r="L173" s="15">
        <f t="shared" si="25"/>
        <v>0.78698604216159851</v>
      </c>
      <c r="M173" s="15">
        <f t="shared" si="26"/>
        <v>0.10650697891920077</v>
      </c>
    </row>
    <row r="174" spans="1:14" x14ac:dyDescent="0.25">
      <c r="A174" s="17">
        <v>19</v>
      </c>
      <c r="B174" s="17">
        <v>2</v>
      </c>
      <c r="C174" s="17" t="s">
        <v>96</v>
      </c>
      <c r="D174" s="21">
        <v>8</v>
      </c>
      <c r="E174" s="17">
        <f t="shared" si="18"/>
        <v>7</v>
      </c>
      <c r="F174" s="17">
        <f t="shared" si="19"/>
        <v>8</v>
      </c>
      <c r="G174" s="17">
        <f t="shared" si="20"/>
        <v>9</v>
      </c>
      <c r="H174" s="15">
        <f t="shared" si="21"/>
        <v>0.10798193302637613</v>
      </c>
      <c r="I174" s="15">
        <f t="shared" si="22"/>
        <v>0.79788456080286541</v>
      </c>
      <c r="J174" s="15">
        <f t="shared" si="23"/>
        <v>0.10798193302637613</v>
      </c>
      <c r="K174" s="15">
        <f t="shared" si="24"/>
        <v>0.10650697891920077</v>
      </c>
      <c r="L174" s="15">
        <f t="shared" si="25"/>
        <v>0.78698604216159851</v>
      </c>
      <c r="M174" s="15">
        <f t="shared" si="26"/>
        <v>0.10650697891920077</v>
      </c>
    </row>
    <row r="175" spans="1:14" x14ac:dyDescent="0.25">
      <c r="A175" s="17">
        <v>19</v>
      </c>
      <c r="B175" s="17">
        <v>3</v>
      </c>
      <c r="C175" s="17" t="s">
        <v>96</v>
      </c>
      <c r="D175" s="21">
        <v>8</v>
      </c>
      <c r="E175" s="17">
        <f t="shared" si="18"/>
        <v>7</v>
      </c>
      <c r="F175" s="17">
        <f t="shared" si="19"/>
        <v>8</v>
      </c>
      <c r="G175" s="17">
        <f t="shared" si="20"/>
        <v>9</v>
      </c>
      <c r="H175" s="15">
        <f t="shared" si="21"/>
        <v>0.10798193302637613</v>
      </c>
      <c r="I175" s="15">
        <f t="shared" si="22"/>
        <v>0.79788456080286541</v>
      </c>
      <c r="J175" s="15">
        <f t="shared" si="23"/>
        <v>0.10798193302637613</v>
      </c>
      <c r="K175" s="15">
        <f t="shared" si="24"/>
        <v>0.10650697891920077</v>
      </c>
      <c r="L175" s="15">
        <f t="shared" si="25"/>
        <v>0.78698604216159851</v>
      </c>
      <c r="M175" s="15">
        <f t="shared" si="26"/>
        <v>0.10650697891920077</v>
      </c>
    </row>
    <row r="176" spans="1:14" x14ac:dyDescent="0.25">
      <c r="A176" s="2">
        <v>20</v>
      </c>
      <c r="B176" s="2">
        <v>1</v>
      </c>
      <c r="C176" s="2" t="s">
        <v>94</v>
      </c>
      <c r="D176" s="22">
        <v>1</v>
      </c>
      <c r="E176" s="2" t="str">
        <f t="shared" si="18"/>
        <v/>
      </c>
      <c r="F176" s="2">
        <f t="shared" si="19"/>
        <v>1</v>
      </c>
      <c r="G176" s="2">
        <f t="shared" si="20"/>
        <v>2</v>
      </c>
      <c r="H176" s="16" t="str">
        <f t="shared" si="21"/>
        <v/>
      </c>
      <c r="I176" s="16">
        <f t="shared" si="22"/>
        <v>0.79788456080286541</v>
      </c>
      <c r="J176" s="16">
        <f t="shared" si="23"/>
        <v>0.10798193302637613</v>
      </c>
      <c r="K176" s="16" t="str">
        <f t="shared" si="24"/>
        <v/>
      </c>
      <c r="L176" s="16">
        <f t="shared" si="25"/>
        <v>0.88079707797788243</v>
      </c>
      <c r="M176" s="16">
        <f t="shared" si="26"/>
        <v>0.11920292202211756</v>
      </c>
    </row>
    <row r="177" spans="1:14" x14ac:dyDescent="0.25">
      <c r="A177" s="2">
        <v>20</v>
      </c>
      <c r="B177" s="2">
        <v>2</v>
      </c>
      <c r="C177" s="2" t="s">
        <v>94</v>
      </c>
      <c r="D177" s="22">
        <v>1</v>
      </c>
      <c r="E177" s="2" t="str">
        <f t="shared" si="18"/>
        <v/>
      </c>
      <c r="F177" s="2">
        <f t="shared" si="19"/>
        <v>1</v>
      </c>
      <c r="G177" s="2">
        <f t="shared" si="20"/>
        <v>2</v>
      </c>
      <c r="H177" s="16" t="str">
        <f t="shared" si="21"/>
        <v/>
      </c>
      <c r="I177" s="16">
        <f t="shared" si="22"/>
        <v>0.79788456080286541</v>
      </c>
      <c r="J177" s="16">
        <f t="shared" si="23"/>
        <v>0.10798193302637613</v>
      </c>
      <c r="K177" s="16" t="str">
        <f t="shared" si="24"/>
        <v/>
      </c>
      <c r="L177" s="16">
        <f t="shared" si="25"/>
        <v>0.88079707797788243</v>
      </c>
      <c r="M177" s="16">
        <f t="shared" si="26"/>
        <v>0.11920292202211756</v>
      </c>
    </row>
    <row r="178" spans="1:14" x14ac:dyDescent="0.25">
      <c r="A178" s="18">
        <v>20</v>
      </c>
      <c r="B178" s="18">
        <v>3</v>
      </c>
      <c r="C178" s="18" t="s">
        <v>94</v>
      </c>
      <c r="D178" s="23">
        <v>8</v>
      </c>
      <c r="E178" s="18">
        <f t="shared" si="18"/>
        <v>7</v>
      </c>
      <c r="F178" s="18">
        <f t="shared" si="19"/>
        <v>8</v>
      </c>
      <c r="G178" s="18">
        <f t="shared" si="20"/>
        <v>9</v>
      </c>
      <c r="H178" s="19">
        <f t="shared" si="21"/>
        <v>0.10798193302637613</v>
      </c>
      <c r="I178" s="19">
        <f t="shared" si="22"/>
        <v>0.79788456080286541</v>
      </c>
      <c r="J178" s="19">
        <f t="shared" si="23"/>
        <v>0.10798193302637613</v>
      </c>
      <c r="K178" s="19">
        <f t="shared" si="24"/>
        <v>0.10650697891920077</v>
      </c>
      <c r="L178" s="19">
        <f t="shared" si="25"/>
        <v>0.78698604216159851</v>
      </c>
      <c r="M178" s="19">
        <f t="shared" si="26"/>
        <v>0.10650697891920077</v>
      </c>
      <c r="N178" s="20" t="s">
        <v>105</v>
      </c>
    </row>
    <row r="179" spans="1:14" x14ac:dyDescent="0.25">
      <c r="A179" s="18">
        <v>20</v>
      </c>
      <c r="B179" s="18">
        <v>1</v>
      </c>
      <c r="C179" s="18" t="s">
        <v>95</v>
      </c>
      <c r="D179" s="23">
        <v>10</v>
      </c>
      <c r="E179" s="18">
        <f t="shared" si="18"/>
        <v>9</v>
      </c>
      <c r="F179" s="18">
        <f t="shared" si="19"/>
        <v>10</v>
      </c>
      <c r="G179" s="18" t="str">
        <f t="shared" si="20"/>
        <v/>
      </c>
      <c r="H179" s="19">
        <f t="shared" si="21"/>
        <v>0.10798193302637613</v>
      </c>
      <c r="I179" s="19">
        <f t="shared" si="22"/>
        <v>0.79788456080286541</v>
      </c>
      <c r="J179" s="19" t="str">
        <f t="shared" si="23"/>
        <v/>
      </c>
      <c r="K179" s="19">
        <f t="shared" si="24"/>
        <v>0.11920292202211756</v>
      </c>
      <c r="L179" s="19">
        <f t="shared" si="25"/>
        <v>0.88079707797788243</v>
      </c>
      <c r="M179" s="19" t="str">
        <f t="shared" si="26"/>
        <v/>
      </c>
      <c r="N179" s="20" t="s">
        <v>105</v>
      </c>
    </row>
    <row r="180" spans="1:14" x14ac:dyDescent="0.25">
      <c r="A180" s="17">
        <v>20</v>
      </c>
      <c r="B180" s="17">
        <v>2</v>
      </c>
      <c r="C180" s="17" t="s">
        <v>95</v>
      </c>
      <c r="D180" s="21">
        <v>4</v>
      </c>
      <c r="E180" s="17">
        <f t="shared" si="18"/>
        <v>3</v>
      </c>
      <c r="F180" s="17">
        <f t="shared" si="19"/>
        <v>4</v>
      </c>
      <c r="G180" s="17">
        <f t="shared" si="20"/>
        <v>5</v>
      </c>
      <c r="H180" s="15">
        <f t="shared" si="21"/>
        <v>0.10798193302637613</v>
      </c>
      <c r="I180" s="15">
        <f t="shared" si="22"/>
        <v>0.79788456080286541</v>
      </c>
      <c r="J180" s="15">
        <f t="shared" si="23"/>
        <v>0.10798193302637613</v>
      </c>
      <c r="K180" s="15">
        <f t="shared" si="24"/>
        <v>0.10650697891920077</v>
      </c>
      <c r="L180" s="15">
        <f t="shared" si="25"/>
        <v>0.78698604216159851</v>
      </c>
      <c r="M180" s="15">
        <f t="shared" si="26"/>
        <v>0.10650697891920077</v>
      </c>
    </row>
    <row r="181" spans="1:14" x14ac:dyDescent="0.25">
      <c r="A181" s="17">
        <v>20</v>
      </c>
      <c r="B181" s="17">
        <v>3</v>
      </c>
      <c r="C181" s="17" t="s">
        <v>95</v>
      </c>
      <c r="D181" s="21">
        <v>5</v>
      </c>
      <c r="E181" s="17">
        <f t="shared" si="18"/>
        <v>4</v>
      </c>
      <c r="F181" s="17">
        <f t="shared" si="19"/>
        <v>5</v>
      </c>
      <c r="G181" s="17">
        <f t="shared" si="20"/>
        <v>6</v>
      </c>
      <c r="H181" s="15">
        <f t="shared" si="21"/>
        <v>0.10798193302637613</v>
      </c>
      <c r="I181" s="15">
        <f t="shared" si="22"/>
        <v>0.79788456080286541</v>
      </c>
      <c r="J181" s="15">
        <f t="shared" si="23"/>
        <v>0.10798193302637613</v>
      </c>
      <c r="K181" s="15">
        <f t="shared" si="24"/>
        <v>0.10650697891920077</v>
      </c>
      <c r="L181" s="15">
        <f t="shared" si="25"/>
        <v>0.78698604216159851</v>
      </c>
      <c r="M181" s="15">
        <f t="shared" si="26"/>
        <v>0.10650697891920077</v>
      </c>
    </row>
    <row r="182" spans="1:14" x14ac:dyDescent="0.25">
      <c r="A182" s="2">
        <v>20</v>
      </c>
      <c r="B182" s="2">
        <v>1</v>
      </c>
      <c r="C182" s="2" t="s">
        <v>96</v>
      </c>
      <c r="D182" s="22">
        <v>8</v>
      </c>
      <c r="E182" s="2">
        <f t="shared" si="18"/>
        <v>7</v>
      </c>
      <c r="F182" s="2">
        <f t="shared" si="19"/>
        <v>8</v>
      </c>
      <c r="G182" s="2">
        <f t="shared" si="20"/>
        <v>9</v>
      </c>
      <c r="H182" s="16">
        <f t="shared" si="21"/>
        <v>0.10798193302637613</v>
      </c>
      <c r="I182" s="16">
        <f t="shared" si="22"/>
        <v>0.79788456080286541</v>
      </c>
      <c r="J182" s="16">
        <f t="shared" si="23"/>
        <v>0.10798193302637613</v>
      </c>
      <c r="K182" s="16">
        <f t="shared" si="24"/>
        <v>0.10650697891920077</v>
      </c>
      <c r="L182" s="16">
        <f t="shared" si="25"/>
        <v>0.78698604216159851</v>
      </c>
      <c r="M182" s="16">
        <f t="shared" si="26"/>
        <v>0.10650697891920077</v>
      </c>
    </row>
    <row r="183" spans="1:14" x14ac:dyDescent="0.25">
      <c r="A183" s="2">
        <v>20</v>
      </c>
      <c r="B183" s="2">
        <v>2</v>
      </c>
      <c r="C183" s="2" t="s">
        <v>96</v>
      </c>
      <c r="D183" s="22">
        <v>8</v>
      </c>
      <c r="E183" s="2">
        <f t="shared" si="18"/>
        <v>7</v>
      </c>
      <c r="F183" s="2">
        <f t="shared" si="19"/>
        <v>8</v>
      </c>
      <c r="G183" s="2">
        <f t="shared" si="20"/>
        <v>9</v>
      </c>
      <c r="H183" s="16">
        <f t="shared" si="21"/>
        <v>0.10798193302637613</v>
      </c>
      <c r="I183" s="16">
        <f t="shared" si="22"/>
        <v>0.79788456080286541</v>
      </c>
      <c r="J183" s="16">
        <f t="shared" si="23"/>
        <v>0.10798193302637613</v>
      </c>
      <c r="K183" s="16">
        <f t="shared" si="24"/>
        <v>0.10650697891920077</v>
      </c>
      <c r="L183" s="16">
        <f t="shared" si="25"/>
        <v>0.78698604216159851</v>
      </c>
      <c r="M183" s="16">
        <f t="shared" si="26"/>
        <v>0.10650697891920077</v>
      </c>
    </row>
    <row r="184" spans="1:14" x14ac:dyDescent="0.25">
      <c r="A184" s="2">
        <v>20</v>
      </c>
      <c r="B184" s="2">
        <v>3</v>
      </c>
      <c r="C184" s="2" t="s">
        <v>96</v>
      </c>
      <c r="D184" s="22">
        <v>7</v>
      </c>
      <c r="E184" s="2">
        <f t="shared" si="18"/>
        <v>6</v>
      </c>
      <c r="F184" s="2">
        <f t="shared" si="19"/>
        <v>7</v>
      </c>
      <c r="G184" s="2">
        <f t="shared" si="20"/>
        <v>8</v>
      </c>
      <c r="H184" s="16">
        <f t="shared" si="21"/>
        <v>0.10798193302637613</v>
      </c>
      <c r="I184" s="16">
        <f t="shared" si="22"/>
        <v>0.79788456080286541</v>
      </c>
      <c r="J184" s="16">
        <f t="shared" si="23"/>
        <v>0.10798193302637613</v>
      </c>
      <c r="K184" s="16">
        <f t="shared" si="24"/>
        <v>0.10650697891920077</v>
      </c>
      <c r="L184" s="16">
        <f t="shared" si="25"/>
        <v>0.78698604216159851</v>
      </c>
      <c r="M184" s="16">
        <f t="shared" si="26"/>
        <v>0.10650697891920077</v>
      </c>
    </row>
    <row r="185" spans="1:14" x14ac:dyDescent="0.25">
      <c r="A185" s="17">
        <v>21</v>
      </c>
      <c r="B185" s="17">
        <v>1</v>
      </c>
      <c r="C185" s="17" t="s">
        <v>94</v>
      </c>
      <c r="D185" s="21">
        <v>7</v>
      </c>
      <c r="E185" s="17">
        <f t="shared" si="18"/>
        <v>6</v>
      </c>
      <c r="F185" s="17">
        <f t="shared" si="19"/>
        <v>7</v>
      </c>
      <c r="G185" s="17">
        <f t="shared" si="20"/>
        <v>8</v>
      </c>
      <c r="H185" s="15">
        <f t="shared" si="21"/>
        <v>0.10798193302637613</v>
      </c>
      <c r="I185" s="15">
        <f t="shared" si="22"/>
        <v>0.79788456080286541</v>
      </c>
      <c r="J185" s="15">
        <f t="shared" si="23"/>
        <v>0.10798193302637613</v>
      </c>
      <c r="K185" s="15">
        <f t="shared" si="24"/>
        <v>0.10650697891920077</v>
      </c>
      <c r="L185" s="15">
        <f t="shared" si="25"/>
        <v>0.78698604216159851</v>
      </c>
      <c r="M185" s="15">
        <f t="shared" si="26"/>
        <v>0.10650697891920077</v>
      </c>
    </row>
    <row r="186" spans="1:14" x14ac:dyDescent="0.25">
      <c r="A186" s="17">
        <v>21</v>
      </c>
      <c r="B186" s="17">
        <v>2</v>
      </c>
      <c r="C186" s="17" t="s">
        <v>94</v>
      </c>
      <c r="D186" s="21">
        <v>5</v>
      </c>
      <c r="E186" s="17">
        <f t="shared" si="18"/>
        <v>4</v>
      </c>
      <c r="F186" s="17">
        <f t="shared" si="19"/>
        <v>5</v>
      </c>
      <c r="G186" s="17">
        <f t="shared" si="20"/>
        <v>6</v>
      </c>
      <c r="H186" s="15">
        <f t="shared" si="21"/>
        <v>0.10798193302637613</v>
      </c>
      <c r="I186" s="15">
        <f t="shared" si="22"/>
        <v>0.79788456080286541</v>
      </c>
      <c r="J186" s="15">
        <f t="shared" si="23"/>
        <v>0.10798193302637613</v>
      </c>
      <c r="K186" s="15">
        <f t="shared" si="24"/>
        <v>0.10650697891920077</v>
      </c>
      <c r="L186" s="15">
        <f t="shared" si="25"/>
        <v>0.78698604216159851</v>
      </c>
      <c r="M186" s="15">
        <f t="shared" si="26"/>
        <v>0.10650697891920077</v>
      </c>
    </row>
    <row r="187" spans="1:14" x14ac:dyDescent="0.25">
      <c r="A187" s="17">
        <v>21</v>
      </c>
      <c r="B187" s="17">
        <v>3</v>
      </c>
      <c r="C187" s="17" t="s">
        <v>94</v>
      </c>
      <c r="D187" s="21">
        <v>3</v>
      </c>
      <c r="E187" s="17">
        <f t="shared" si="18"/>
        <v>2</v>
      </c>
      <c r="F187" s="17">
        <f t="shared" si="19"/>
        <v>3</v>
      </c>
      <c r="G187" s="17">
        <f t="shared" si="20"/>
        <v>4</v>
      </c>
      <c r="H187" s="15">
        <f t="shared" si="21"/>
        <v>0.10798193302637613</v>
      </c>
      <c r="I187" s="15">
        <f t="shared" si="22"/>
        <v>0.79788456080286541</v>
      </c>
      <c r="J187" s="15">
        <f t="shared" si="23"/>
        <v>0.10798193302637613</v>
      </c>
      <c r="K187" s="15">
        <f t="shared" si="24"/>
        <v>0.10650697891920077</v>
      </c>
      <c r="L187" s="15">
        <f t="shared" si="25"/>
        <v>0.78698604216159851</v>
      </c>
      <c r="M187" s="15">
        <f t="shared" si="26"/>
        <v>0.10650697891920077</v>
      </c>
    </row>
    <row r="188" spans="1:14" x14ac:dyDescent="0.25">
      <c r="A188" s="2">
        <v>21</v>
      </c>
      <c r="B188" s="2">
        <v>1</v>
      </c>
      <c r="C188" s="2" t="s">
        <v>95</v>
      </c>
      <c r="D188" s="22">
        <v>10</v>
      </c>
      <c r="E188" s="2">
        <f t="shared" si="18"/>
        <v>9</v>
      </c>
      <c r="F188" s="2">
        <f t="shared" si="19"/>
        <v>10</v>
      </c>
      <c r="G188" s="2" t="str">
        <f t="shared" si="20"/>
        <v/>
      </c>
      <c r="H188" s="16">
        <f t="shared" si="21"/>
        <v>0.10798193302637613</v>
      </c>
      <c r="I188" s="16">
        <f t="shared" si="22"/>
        <v>0.79788456080286541</v>
      </c>
      <c r="J188" s="16" t="str">
        <f t="shared" si="23"/>
        <v/>
      </c>
      <c r="K188" s="16">
        <f t="shared" si="24"/>
        <v>0.11920292202211756</v>
      </c>
      <c r="L188" s="16">
        <f t="shared" si="25"/>
        <v>0.88079707797788243</v>
      </c>
      <c r="M188" s="16" t="str">
        <f t="shared" si="26"/>
        <v/>
      </c>
    </row>
    <row r="189" spans="1:14" x14ac:dyDescent="0.25">
      <c r="A189" s="2">
        <v>21</v>
      </c>
      <c r="B189" s="2">
        <v>2</v>
      </c>
      <c r="C189" s="2" t="s">
        <v>95</v>
      </c>
      <c r="D189" s="22">
        <v>9</v>
      </c>
      <c r="E189" s="2">
        <f t="shared" si="18"/>
        <v>8</v>
      </c>
      <c r="F189" s="2">
        <f t="shared" si="19"/>
        <v>9</v>
      </c>
      <c r="G189" s="2">
        <f t="shared" si="20"/>
        <v>10</v>
      </c>
      <c r="H189" s="16">
        <f t="shared" si="21"/>
        <v>0.10798193302637613</v>
      </c>
      <c r="I189" s="16">
        <f t="shared" si="22"/>
        <v>0.79788456080286541</v>
      </c>
      <c r="J189" s="16">
        <f t="shared" si="23"/>
        <v>0.10798193302637613</v>
      </c>
      <c r="K189" s="16">
        <f t="shared" si="24"/>
        <v>0.10650697891920077</v>
      </c>
      <c r="L189" s="16">
        <f t="shared" si="25"/>
        <v>0.78698604216159851</v>
      </c>
      <c r="M189" s="16">
        <f t="shared" si="26"/>
        <v>0.10650697891920077</v>
      </c>
    </row>
    <row r="190" spans="1:14" x14ac:dyDescent="0.25">
      <c r="A190" s="18">
        <v>21</v>
      </c>
      <c r="B190" s="18">
        <v>3</v>
      </c>
      <c r="C190" s="18" t="s">
        <v>95</v>
      </c>
      <c r="D190" s="23">
        <v>3</v>
      </c>
      <c r="E190" s="18">
        <f t="shared" si="18"/>
        <v>2</v>
      </c>
      <c r="F190" s="18">
        <f t="shared" si="19"/>
        <v>3</v>
      </c>
      <c r="G190" s="18">
        <f t="shared" si="20"/>
        <v>4</v>
      </c>
      <c r="H190" s="19">
        <f t="shared" si="21"/>
        <v>0.10798193302637613</v>
      </c>
      <c r="I190" s="19">
        <f t="shared" si="22"/>
        <v>0.79788456080286541</v>
      </c>
      <c r="J190" s="19">
        <f t="shared" si="23"/>
        <v>0.10798193302637613</v>
      </c>
      <c r="K190" s="19">
        <f t="shared" si="24"/>
        <v>0.10650697891920077</v>
      </c>
      <c r="L190" s="19">
        <f t="shared" si="25"/>
        <v>0.78698604216159851</v>
      </c>
      <c r="M190" s="19">
        <f t="shared" si="26"/>
        <v>0.10650697891920077</v>
      </c>
      <c r="N190" s="20" t="s">
        <v>105</v>
      </c>
    </row>
    <row r="191" spans="1:14" x14ac:dyDescent="0.25">
      <c r="A191" s="17">
        <v>21</v>
      </c>
      <c r="B191" s="17">
        <v>1</v>
      </c>
      <c r="C191" s="17" t="s">
        <v>96</v>
      </c>
      <c r="D191" s="21">
        <v>7</v>
      </c>
      <c r="E191" s="17">
        <f t="shared" si="18"/>
        <v>6</v>
      </c>
      <c r="F191" s="17">
        <f t="shared" si="19"/>
        <v>7</v>
      </c>
      <c r="G191" s="17">
        <f t="shared" si="20"/>
        <v>8</v>
      </c>
      <c r="H191" s="15">
        <f t="shared" si="21"/>
        <v>0.10798193302637613</v>
      </c>
      <c r="I191" s="15">
        <f t="shared" si="22"/>
        <v>0.79788456080286541</v>
      </c>
      <c r="J191" s="15">
        <f t="shared" si="23"/>
        <v>0.10798193302637613</v>
      </c>
      <c r="K191" s="15">
        <f t="shared" si="24"/>
        <v>0.10650697891920077</v>
      </c>
      <c r="L191" s="15">
        <f t="shared" si="25"/>
        <v>0.78698604216159851</v>
      </c>
      <c r="M191" s="15">
        <f t="shared" si="26"/>
        <v>0.10650697891920077</v>
      </c>
    </row>
    <row r="192" spans="1:14" x14ac:dyDescent="0.25">
      <c r="A192" s="17">
        <v>21</v>
      </c>
      <c r="B192" s="17">
        <v>2</v>
      </c>
      <c r="C192" s="17" t="s">
        <v>96</v>
      </c>
      <c r="D192" s="21">
        <v>9</v>
      </c>
      <c r="E192" s="17">
        <f t="shared" si="18"/>
        <v>8</v>
      </c>
      <c r="F192" s="17">
        <f t="shared" si="19"/>
        <v>9</v>
      </c>
      <c r="G192" s="17">
        <f t="shared" si="20"/>
        <v>10</v>
      </c>
      <c r="H192" s="15">
        <f t="shared" si="21"/>
        <v>0.10798193302637613</v>
      </c>
      <c r="I192" s="15">
        <f t="shared" si="22"/>
        <v>0.79788456080286541</v>
      </c>
      <c r="J192" s="15">
        <f t="shared" si="23"/>
        <v>0.10798193302637613</v>
      </c>
      <c r="K192" s="15">
        <f t="shared" si="24"/>
        <v>0.10650697891920077</v>
      </c>
      <c r="L192" s="15">
        <f t="shared" si="25"/>
        <v>0.78698604216159851</v>
      </c>
      <c r="M192" s="15">
        <f t="shared" si="26"/>
        <v>0.10650697891920077</v>
      </c>
    </row>
    <row r="193" spans="1:14" x14ac:dyDescent="0.25">
      <c r="A193" s="17">
        <v>21</v>
      </c>
      <c r="B193" s="17">
        <v>3</v>
      </c>
      <c r="C193" s="17" t="s">
        <v>96</v>
      </c>
      <c r="D193" s="21">
        <v>8</v>
      </c>
      <c r="E193" s="17">
        <f t="shared" si="18"/>
        <v>7</v>
      </c>
      <c r="F193" s="17">
        <f t="shared" si="19"/>
        <v>8</v>
      </c>
      <c r="G193" s="17">
        <f t="shared" si="20"/>
        <v>9</v>
      </c>
      <c r="H193" s="15">
        <f t="shared" si="21"/>
        <v>0.10798193302637613</v>
      </c>
      <c r="I193" s="15">
        <f t="shared" si="22"/>
        <v>0.79788456080286541</v>
      </c>
      <c r="J193" s="15">
        <f t="shared" si="23"/>
        <v>0.10798193302637613</v>
      </c>
      <c r="K193" s="15">
        <f t="shared" si="24"/>
        <v>0.10650697891920077</v>
      </c>
      <c r="L193" s="15">
        <f t="shared" si="25"/>
        <v>0.78698604216159851</v>
      </c>
      <c r="M193" s="15">
        <f t="shared" si="26"/>
        <v>0.10650697891920077</v>
      </c>
    </row>
    <row r="194" spans="1:14" x14ac:dyDescent="0.25">
      <c r="A194" s="2">
        <v>22</v>
      </c>
      <c r="B194" s="2">
        <v>1</v>
      </c>
      <c r="C194" s="2" t="s">
        <v>94</v>
      </c>
      <c r="D194" s="22">
        <v>10</v>
      </c>
      <c r="E194" s="2">
        <f t="shared" si="18"/>
        <v>9</v>
      </c>
      <c r="F194" s="2">
        <f t="shared" si="19"/>
        <v>10</v>
      </c>
      <c r="G194" s="2" t="str">
        <f t="shared" si="20"/>
        <v/>
      </c>
      <c r="H194" s="16">
        <f t="shared" si="21"/>
        <v>0.10798193302637613</v>
      </c>
      <c r="I194" s="16">
        <f t="shared" si="22"/>
        <v>0.79788456080286541</v>
      </c>
      <c r="J194" s="16" t="str">
        <f t="shared" si="23"/>
        <v/>
      </c>
      <c r="K194" s="16">
        <f t="shared" si="24"/>
        <v>0.11920292202211756</v>
      </c>
      <c r="L194" s="16">
        <f t="shared" si="25"/>
        <v>0.88079707797788243</v>
      </c>
      <c r="M194" s="16" t="str">
        <f t="shared" si="26"/>
        <v/>
      </c>
    </row>
    <row r="195" spans="1:14" x14ac:dyDescent="0.25">
      <c r="A195" s="2">
        <v>22</v>
      </c>
      <c r="B195" s="2">
        <v>2</v>
      </c>
      <c r="C195" s="2" t="s">
        <v>94</v>
      </c>
      <c r="D195" s="22">
        <v>8</v>
      </c>
      <c r="E195" s="2">
        <f t="shared" si="18"/>
        <v>7</v>
      </c>
      <c r="F195" s="2">
        <f t="shared" si="19"/>
        <v>8</v>
      </c>
      <c r="G195" s="2">
        <f t="shared" si="20"/>
        <v>9</v>
      </c>
      <c r="H195" s="16">
        <f t="shared" si="21"/>
        <v>0.10798193302637613</v>
      </c>
      <c r="I195" s="16">
        <f t="shared" si="22"/>
        <v>0.79788456080286541</v>
      </c>
      <c r="J195" s="16">
        <f t="shared" si="23"/>
        <v>0.10798193302637613</v>
      </c>
      <c r="K195" s="16">
        <f t="shared" si="24"/>
        <v>0.10650697891920077</v>
      </c>
      <c r="L195" s="16">
        <f t="shared" si="25"/>
        <v>0.78698604216159851</v>
      </c>
      <c r="M195" s="16">
        <f t="shared" si="26"/>
        <v>0.10650697891920077</v>
      </c>
    </row>
    <row r="196" spans="1:14" x14ac:dyDescent="0.25">
      <c r="A196" s="2">
        <v>22</v>
      </c>
      <c r="B196" s="2">
        <v>3</v>
      </c>
      <c r="C196" s="2" t="s">
        <v>94</v>
      </c>
      <c r="D196" s="22">
        <v>7</v>
      </c>
      <c r="E196" s="2">
        <f t="shared" si="18"/>
        <v>6</v>
      </c>
      <c r="F196" s="2">
        <f t="shared" si="19"/>
        <v>7</v>
      </c>
      <c r="G196" s="2">
        <f t="shared" si="20"/>
        <v>8</v>
      </c>
      <c r="H196" s="16">
        <f t="shared" si="21"/>
        <v>0.10798193302637613</v>
      </c>
      <c r="I196" s="16">
        <f t="shared" si="22"/>
        <v>0.79788456080286541</v>
      </c>
      <c r="J196" s="16">
        <f t="shared" si="23"/>
        <v>0.10798193302637613</v>
      </c>
      <c r="K196" s="16">
        <f t="shared" si="24"/>
        <v>0.10650697891920077</v>
      </c>
      <c r="L196" s="16">
        <f t="shared" si="25"/>
        <v>0.78698604216159851</v>
      </c>
      <c r="M196" s="16">
        <f t="shared" si="26"/>
        <v>0.10650697891920077</v>
      </c>
    </row>
    <row r="197" spans="1:14" x14ac:dyDescent="0.25">
      <c r="A197" s="18">
        <v>22</v>
      </c>
      <c r="B197" s="18">
        <v>1</v>
      </c>
      <c r="C197" s="18" t="s">
        <v>95</v>
      </c>
      <c r="D197" s="23">
        <v>10</v>
      </c>
      <c r="E197" s="18">
        <f t="shared" si="18"/>
        <v>9</v>
      </c>
      <c r="F197" s="18">
        <f t="shared" si="19"/>
        <v>10</v>
      </c>
      <c r="G197" s="18" t="str">
        <f t="shared" si="20"/>
        <v/>
      </c>
      <c r="H197" s="19">
        <f t="shared" si="21"/>
        <v>0.10798193302637613</v>
      </c>
      <c r="I197" s="19">
        <f t="shared" si="22"/>
        <v>0.79788456080286541</v>
      </c>
      <c r="J197" s="19" t="str">
        <f t="shared" si="23"/>
        <v/>
      </c>
      <c r="K197" s="19">
        <f t="shared" si="24"/>
        <v>0.11920292202211756</v>
      </c>
      <c r="L197" s="19">
        <f t="shared" si="25"/>
        <v>0.88079707797788243</v>
      </c>
      <c r="M197" s="19" t="str">
        <f t="shared" si="26"/>
        <v/>
      </c>
      <c r="N197" s="20" t="s">
        <v>105</v>
      </c>
    </row>
    <row r="198" spans="1:14" x14ac:dyDescent="0.25">
      <c r="A198" s="18">
        <v>22</v>
      </c>
      <c r="B198" s="18">
        <v>2</v>
      </c>
      <c r="C198" s="18" t="s">
        <v>95</v>
      </c>
      <c r="D198" s="23">
        <v>7</v>
      </c>
      <c r="E198" s="18">
        <f t="shared" ref="E198:E261" si="27">IF(F198-1=0,"",F198-1)</f>
        <v>6</v>
      </c>
      <c r="F198" s="18">
        <f t="shared" ref="F198:F261" si="28">D198</f>
        <v>7</v>
      </c>
      <c r="G198" s="18">
        <f t="shared" ref="G198:G261" si="29">IF(F198+1=11,"",F198+1)</f>
        <v>8</v>
      </c>
      <c r="H198" s="19">
        <f t="shared" ref="H198:H261" si="30">IF(E198&lt;&gt;"",(1/(0.5*SQRT(2*PI()))) * EXP(-((E198 - $D198)^2)/(2*0.5^2)),"")</f>
        <v>0.10798193302637613</v>
      </c>
      <c r="I198" s="19">
        <f t="shared" ref="I198:I261" si="31">(1/(0.5*SQRT(2*PI()))) * EXP(-((F198 - $D198)^2)/(2*0.5^2))</f>
        <v>0.79788456080286541</v>
      </c>
      <c r="J198" s="19">
        <f t="shared" ref="J198:J261" si="32">IF(G198&lt;&gt;"",(1/(0.5*SQRT(2*PI()))) * EXP(-((G198 - $D198)^2)/(2*0.5^2)),"")</f>
        <v>0.10798193302637613</v>
      </c>
      <c r="K198" s="19">
        <f t="shared" ref="K198:K261" si="33">IF(H198&lt;&gt;"",H198/(SUM(H198:J198)),"")</f>
        <v>0.10650697891920077</v>
      </c>
      <c r="L198" s="19">
        <f t="shared" ref="L198:L261" si="34">I198/SUM(H198:J198)</f>
        <v>0.78698604216159851</v>
      </c>
      <c r="M198" s="19">
        <f t="shared" ref="M198:M261" si="35">IF(J198&lt;&gt;"",J198/SUM(H198:J198),"")</f>
        <v>0.10650697891920077</v>
      </c>
      <c r="N198" s="20" t="s">
        <v>105</v>
      </c>
    </row>
    <row r="199" spans="1:14" x14ac:dyDescent="0.25">
      <c r="A199" s="18">
        <v>22</v>
      </c>
      <c r="B199" s="18">
        <v>3</v>
      </c>
      <c r="C199" s="18" t="s">
        <v>95</v>
      </c>
      <c r="D199" s="23">
        <v>4</v>
      </c>
      <c r="E199" s="18">
        <f t="shared" si="27"/>
        <v>3</v>
      </c>
      <c r="F199" s="18">
        <f t="shared" si="28"/>
        <v>4</v>
      </c>
      <c r="G199" s="18">
        <f t="shared" si="29"/>
        <v>5</v>
      </c>
      <c r="H199" s="19">
        <f t="shared" si="30"/>
        <v>0.10798193302637613</v>
      </c>
      <c r="I199" s="19">
        <f t="shared" si="31"/>
        <v>0.79788456080286541</v>
      </c>
      <c r="J199" s="19">
        <f t="shared" si="32"/>
        <v>0.10798193302637613</v>
      </c>
      <c r="K199" s="19">
        <f t="shared" si="33"/>
        <v>0.10650697891920077</v>
      </c>
      <c r="L199" s="19">
        <f t="shared" si="34"/>
        <v>0.78698604216159851</v>
      </c>
      <c r="M199" s="19">
        <f t="shared" si="35"/>
        <v>0.10650697891920077</v>
      </c>
      <c r="N199" s="20" t="s">
        <v>105</v>
      </c>
    </row>
    <row r="200" spans="1:14" x14ac:dyDescent="0.25">
      <c r="A200" s="2">
        <v>22</v>
      </c>
      <c r="B200" s="2">
        <v>1</v>
      </c>
      <c r="C200" s="2" t="s">
        <v>96</v>
      </c>
      <c r="D200" s="22">
        <v>7</v>
      </c>
      <c r="E200" s="2">
        <f t="shared" si="27"/>
        <v>6</v>
      </c>
      <c r="F200" s="2">
        <f t="shared" si="28"/>
        <v>7</v>
      </c>
      <c r="G200" s="2">
        <f t="shared" si="29"/>
        <v>8</v>
      </c>
      <c r="H200" s="16">
        <f t="shared" si="30"/>
        <v>0.10798193302637613</v>
      </c>
      <c r="I200" s="16">
        <f t="shared" si="31"/>
        <v>0.79788456080286541</v>
      </c>
      <c r="J200" s="16">
        <f t="shared" si="32"/>
        <v>0.10798193302637613</v>
      </c>
      <c r="K200" s="16">
        <f t="shared" si="33"/>
        <v>0.10650697891920077</v>
      </c>
      <c r="L200" s="16">
        <f t="shared" si="34"/>
        <v>0.78698604216159851</v>
      </c>
      <c r="M200" s="16">
        <f t="shared" si="35"/>
        <v>0.10650697891920077</v>
      </c>
    </row>
    <row r="201" spans="1:14" x14ac:dyDescent="0.25">
      <c r="A201" s="2">
        <v>22</v>
      </c>
      <c r="B201" s="2">
        <v>2</v>
      </c>
      <c r="C201" s="2" t="s">
        <v>96</v>
      </c>
      <c r="D201" s="22">
        <v>8</v>
      </c>
      <c r="E201" s="2">
        <f t="shared" si="27"/>
        <v>7</v>
      </c>
      <c r="F201" s="2">
        <f t="shared" si="28"/>
        <v>8</v>
      </c>
      <c r="G201" s="2">
        <f t="shared" si="29"/>
        <v>9</v>
      </c>
      <c r="H201" s="16">
        <f t="shared" si="30"/>
        <v>0.10798193302637613</v>
      </c>
      <c r="I201" s="16">
        <f t="shared" si="31"/>
        <v>0.79788456080286541</v>
      </c>
      <c r="J201" s="16">
        <f t="shared" si="32"/>
        <v>0.10798193302637613</v>
      </c>
      <c r="K201" s="16">
        <f t="shared" si="33"/>
        <v>0.10650697891920077</v>
      </c>
      <c r="L201" s="16">
        <f t="shared" si="34"/>
        <v>0.78698604216159851</v>
      </c>
      <c r="M201" s="16">
        <f t="shared" si="35"/>
        <v>0.10650697891920077</v>
      </c>
    </row>
    <row r="202" spans="1:14" x14ac:dyDescent="0.25">
      <c r="A202" s="2">
        <v>22</v>
      </c>
      <c r="B202" s="2">
        <v>3</v>
      </c>
      <c r="C202" s="2" t="s">
        <v>96</v>
      </c>
      <c r="D202" s="22">
        <v>8</v>
      </c>
      <c r="E202" s="2">
        <f t="shared" si="27"/>
        <v>7</v>
      </c>
      <c r="F202" s="2">
        <f t="shared" si="28"/>
        <v>8</v>
      </c>
      <c r="G202" s="2">
        <f t="shared" si="29"/>
        <v>9</v>
      </c>
      <c r="H202" s="16">
        <f t="shared" si="30"/>
        <v>0.10798193302637613</v>
      </c>
      <c r="I202" s="16">
        <f t="shared" si="31"/>
        <v>0.79788456080286541</v>
      </c>
      <c r="J202" s="16">
        <f t="shared" si="32"/>
        <v>0.10798193302637613</v>
      </c>
      <c r="K202" s="16">
        <f t="shared" si="33"/>
        <v>0.10650697891920077</v>
      </c>
      <c r="L202" s="16">
        <f t="shared" si="34"/>
        <v>0.78698604216159851</v>
      </c>
      <c r="M202" s="16">
        <f t="shared" si="35"/>
        <v>0.10650697891920077</v>
      </c>
    </row>
    <row r="203" spans="1:14" x14ac:dyDescent="0.25">
      <c r="A203" s="18">
        <v>23</v>
      </c>
      <c r="B203" s="18">
        <v>1</v>
      </c>
      <c r="C203" s="18" t="s">
        <v>94</v>
      </c>
      <c r="D203" s="23">
        <v>10</v>
      </c>
      <c r="E203" s="18">
        <f t="shared" si="27"/>
        <v>9</v>
      </c>
      <c r="F203" s="18">
        <f t="shared" si="28"/>
        <v>10</v>
      </c>
      <c r="G203" s="18" t="str">
        <f t="shared" si="29"/>
        <v/>
      </c>
      <c r="H203" s="19">
        <f t="shared" si="30"/>
        <v>0.10798193302637613</v>
      </c>
      <c r="I203" s="19">
        <f t="shared" si="31"/>
        <v>0.79788456080286541</v>
      </c>
      <c r="J203" s="19" t="str">
        <f t="shared" si="32"/>
        <v/>
      </c>
      <c r="K203" s="19">
        <f t="shared" si="33"/>
        <v>0.11920292202211756</v>
      </c>
      <c r="L203" s="19">
        <f t="shared" si="34"/>
        <v>0.88079707797788243</v>
      </c>
      <c r="M203" s="19" t="str">
        <f t="shared" si="35"/>
        <v/>
      </c>
      <c r="N203" s="20" t="s">
        <v>105</v>
      </c>
    </row>
    <row r="204" spans="1:14" x14ac:dyDescent="0.25">
      <c r="A204" s="17">
        <v>23</v>
      </c>
      <c r="B204" s="17">
        <v>2</v>
      </c>
      <c r="C204" s="17" t="s">
        <v>94</v>
      </c>
      <c r="D204" s="21">
        <v>3</v>
      </c>
      <c r="E204" s="17">
        <f t="shared" si="27"/>
        <v>2</v>
      </c>
      <c r="F204" s="17">
        <f t="shared" si="28"/>
        <v>3</v>
      </c>
      <c r="G204" s="17">
        <f t="shared" si="29"/>
        <v>4</v>
      </c>
      <c r="H204" s="15">
        <f t="shared" si="30"/>
        <v>0.10798193302637613</v>
      </c>
      <c r="I204" s="15">
        <f t="shared" si="31"/>
        <v>0.79788456080286541</v>
      </c>
      <c r="J204" s="15">
        <f t="shared" si="32"/>
        <v>0.10798193302637613</v>
      </c>
      <c r="K204" s="15">
        <f t="shared" si="33"/>
        <v>0.10650697891920077</v>
      </c>
      <c r="L204" s="15">
        <f t="shared" si="34"/>
        <v>0.78698604216159851</v>
      </c>
      <c r="M204" s="15">
        <f t="shared" si="35"/>
        <v>0.10650697891920077</v>
      </c>
    </row>
    <row r="205" spans="1:14" x14ac:dyDescent="0.25">
      <c r="A205" s="17">
        <v>23</v>
      </c>
      <c r="B205" s="17">
        <v>3</v>
      </c>
      <c r="C205" s="17" t="s">
        <v>94</v>
      </c>
      <c r="D205" s="21">
        <v>3</v>
      </c>
      <c r="E205" s="17">
        <f t="shared" si="27"/>
        <v>2</v>
      </c>
      <c r="F205" s="17">
        <f t="shared" si="28"/>
        <v>3</v>
      </c>
      <c r="G205" s="17">
        <f t="shared" si="29"/>
        <v>4</v>
      </c>
      <c r="H205" s="15">
        <f t="shared" si="30"/>
        <v>0.10798193302637613</v>
      </c>
      <c r="I205" s="15">
        <f t="shared" si="31"/>
        <v>0.79788456080286541</v>
      </c>
      <c r="J205" s="15">
        <f t="shared" si="32"/>
        <v>0.10798193302637613</v>
      </c>
      <c r="K205" s="15">
        <f t="shared" si="33"/>
        <v>0.10650697891920077</v>
      </c>
      <c r="L205" s="15">
        <f t="shared" si="34"/>
        <v>0.78698604216159851</v>
      </c>
      <c r="M205" s="15">
        <f t="shared" si="35"/>
        <v>0.10650697891920077</v>
      </c>
    </row>
    <row r="206" spans="1:14" x14ac:dyDescent="0.25">
      <c r="A206" s="2">
        <v>23</v>
      </c>
      <c r="B206" s="2">
        <v>1</v>
      </c>
      <c r="C206" s="2" t="s">
        <v>95</v>
      </c>
      <c r="D206" s="22">
        <v>1</v>
      </c>
      <c r="E206" s="2" t="str">
        <f t="shared" si="27"/>
        <v/>
      </c>
      <c r="F206" s="2">
        <f t="shared" si="28"/>
        <v>1</v>
      </c>
      <c r="G206" s="2">
        <f t="shared" si="29"/>
        <v>2</v>
      </c>
      <c r="H206" s="16" t="str">
        <f t="shared" si="30"/>
        <v/>
      </c>
      <c r="I206" s="16">
        <f t="shared" si="31"/>
        <v>0.79788456080286541</v>
      </c>
      <c r="J206" s="16">
        <f t="shared" si="32"/>
        <v>0.10798193302637613</v>
      </c>
      <c r="K206" s="16" t="str">
        <f t="shared" si="33"/>
        <v/>
      </c>
      <c r="L206" s="16">
        <f t="shared" si="34"/>
        <v>0.88079707797788243</v>
      </c>
      <c r="M206" s="16">
        <f t="shared" si="35"/>
        <v>0.11920292202211756</v>
      </c>
    </row>
    <row r="207" spans="1:14" x14ac:dyDescent="0.25">
      <c r="A207" s="2">
        <v>23</v>
      </c>
      <c r="B207" s="2">
        <v>2</v>
      </c>
      <c r="C207" s="2" t="s">
        <v>95</v>
      </c>
      <c r="D207" s="22">
        <v>1</v>
      </c>
      <c r="E207" s="2" t="str">
        <f t="shared" si="27"/>
        <v/>
      </c>
      <c r="F207" s="2">
        <f t="shared" si="28"/>
        <v>1</v>
      </c>
      <c r="G207" s="2">
        <f t="shared" si="29"/>
        <v>2</v>
      </c>
      <c r="H207" s="16" t="str">
        <f t="shared" si="30"/>
        <v/>
      </c>
      <c r="I207" s="16">
        <f t="shared" si="31"/>
        <v>0.79788456080286541</v>
      </c>
      <c r="J207" s="16">
        <f t="shared" si="32"/>
        <v>0.10798193302637613</v>
      </c>
      <c r="K207" s="16" t="str">
        <f t="shared" si="33"/>
        <v/>
      </c>
      <c r="L207" s="16">
        <f t="shared" si="34"/>
        <v>0.88079707797788243</v>
      </c>
      <c r="M207" s="16">
        <f t="shared" si="35"/>
        <v>0.11920292202211756</v>
      </c>
    </row>
    <row r="208" spans="1:14" x14ac:dyDescent="0.25">
      <c r="A208" s="18">
        <v>23</v>
      </c>
      <c r="B208" s="18">
        <v>3</v>
      </c>
      <c r="C208" s="18" t="s">
        <v>95</v>
      </c>
      <c r="D208" s="23">
        <v>5</v>
      </c>
      <c r="E208" s="18">
        <f t="shared" si="27"/>
        <v>4</v>
      </c>
      <c r="F208" s="18">
        <f t="shared" si="28"/>
        <v>5</v>
      </c>
      <c r="G208" s="18">
        <f t="shared" si="29"/>
        <v>6</v>
      </c>
      <c r="H208" s="19">
        <f t="shared" si="30"/>
        <v>0.10798193302637613</v>
      </c>
      <c r="I208" s="19">
        <f t="shared" si="31"/>
        <v>0.79788456080286541</v>
      </c>
      <c r="J208" s="19">
        <f t="shared" si="32"/>
        <v>0.10798193302637613</v>
      </c>
      <c r="K208" s="19">
        <f t="shared" si="33"/>
        <v>0.10650697891920077</v>
      </c>
      <c r="L208" s="19">
        <f t="shared" si="34"/>
        <v>0.78698604216159851</v>
      </c>
      <c r="M208" s="19">
        <f t="shared" si="35"/>
        <v>0.10650697891920077</v>
      </c>
      <c r="N208" s="20" t="s">
        <v>105</v>
      </c>
    </row>
    <row r="209" spans="1:14" x14ac:dyDescent="0.25">
      <c r="A209" s="17">
        <v>23</v>
      </c>
      <c r="B209" s="17">
        <v>1</v>
      </c>
      <c r="C209" s="17" t="s">
        <v>96</v>
      </c>
      <c r="D209" s="21">
        <v>10</v>
      </c>
      <c r="E209" s="17">
        <f t="shared" si="27"/>
        <v>9</v>
      </c>
      <c r="F209" s="17">
        <f t="shared" si="28"/>
        <v>10</v>
      </c>
      <c r="G209" s="17" t="str">
        <f t="shared" si="29"/>
        <v/>
      </c>
      <c r="H209" s="15">
        <f t="shared" si="30"/>
        <v>0.10798193302637613</v>
      </c>
      <c r="I209" s="15">
        <f t="shared" si="31"/>
        <v>0.79788456080286541</v>
      </c>
      <c r="J209" s="15" t="str">
        <f t="shared" si="32"/>
        <v/>
      </c>
      <c r="K209" s="15">
        <f t="shared" si="33"/>
        <v>0.11920292202211756</v>
      </c>
      <c r="L209" s="15">
        <f t="shared" si="34"/>
        <v>0.88079707797788243</v>
      </c>
      <c r="M209" s="15" t="str">
        <f t="shared" si="35"/>
        <v/>
      </c>
    </row>
    <row r="210" spans="1:14" x14ac:dyDescent="0.25">
      <c r="A210" s="17">
        <v>23</v>
      </c>
      <c r="B210" s="17">
        <v>2</v>
      </c>
      <c r="C210" s="17" t="s">
        <v>96</v>
      </c>
      <c r="D210" s="21">
        <v>9</v>
      </c>
      <c r="E210" s="17">
        <f t="shared" si="27"/>
        <v>8</v>
      </c>
      <c r="F210" s="17">
        <f t="shared" si="28"/>
        <v>9</v>
      </c>
      <c r="G210" s="17">
        <f t="shared" si="29"/>
        <v>10</v>
      </c>
      <c r="H210" s="15">
        <f t="shared" si="30"/>
        <v>0.10798193302637613</v>
      </c>
      <c r="I210" s="15">
        <f t="shared" si="31"/>
        <v>0.79788456080286541</v>
      </c>
      <c r="J210" s="15">
        <f t="shared" si="32"/>
        <v>0.10798193302637613</v>
      </c>
      <c r="K210" s="15">
        <f t="shared" si="33"/>
        <v>0.10650697891920077</v>
      </c>
      <c r="L210" s="15">
        <f t="shared" si="34"/>
        <v>0.78698604216159851</v>
      </c>
      <c r="M210" s="15">
        <f t="shared" si="35"/>
        <v>0.10650697891920077</v>
      </c>
    </row>
    <row r="211" spans="1:14" x14ac:dyDescent="0.25">
      <c r="A211" s="17">
        <v>23</v>
      </c>
      <c r="B211" s="17">
        <v>3</v>
      </c>
      <c r="C211" s="17" t="s">
        <v>96</v>
      </c>
      <c r="D211" s="21">
        <v>8</v>
      </c>
      <c r="E211" s="17">
        <f t="shared" si="27"/>
        <v>7</v>
      </c>
      <c r="F211" s="17">
        <f t="shared" si="28"/>
        <v>8</v>
      </c>
      <c r="G211" s="17">
        <f t="shared" si="29"/>
        <v>9</v>
      </c>
      <c r="H211" s="15">
        <f t="shared" si="30"/>
        <v>0.10798193302637613</v>
      </c>
      <c r="I211" s="15">
        <f t="shared" si="31"/>
        <v>0.79788456080286541</v>
      </c>
      <c r="J211" s="15">
        <f t="shared" si="32"/>
        <v>0.10798193302637613</v>
      </c>
      <c r="K211" s="15">
        <f t="shared" si="33"/>
        <v>0.10650697891920077</v>
      </c>
      <c r="L211" s="15">
        <f t="shared" si="34"/>
        <v>0.78698604216159851</v>
      </c>
      <c r="M211" s="15">
        <f t="shared" si="35"/>
        <v>0.10650697891920077</v>
      </c>
    </row>
    <row r="212" spans="1:14" x14ac:dyDescent="0.25">
      <c r="A212" s="18">
        <v>24</v>
      </c>
      <c r="B212" s="18">
        <v>1</v>
      </c>
      <c r="C212" s="18" t="s">
        <v>94</v>
      </c>
      <c r="D212" s="23">
        <v>10</v>
      </c>
      <c r="E212" s="18">
        <f t="shared" si="27"/>
        <v>9</v>
      </c>
      <c r="F212" s="18">
        <f t="shared" si="28"/>
        <v>10</v>
      </c>
      <c r="G212" s="18" t="str">
        <f t="shared" si="29"/>
        <v/>
      </c>
      <c r="H212" s="19">
        <f t="shared" si="30"/>
        <v>0.10798193302637613</v>
      </c>
      <c r="I212" s="19">
        <f t="shared" si="31"/>
        <v>0.79788456080286541</v>
      </c>
      <c r="J212" s="19" t="str">
        <f t="shared" si="32"/>
        <v/>
      </c>
      <c r="K212" s="19">
        <f t="shared" si="33"/>
        <v>0.11920292202211756</v>
      </c>
      <c r="L212" s="19">
        <f t="shared" si="34"/>
        <v>0.88079707797788243</v>
      </c>
      <c r="M212" s="19" t="str">
        <f t="shared" si="35"/>
        <v/>
      </c>
      <c r="N212" s="20" t="s">
        <v>105</v>
      </c>
    </row>
    <row r="213" spans="1:14" x14ac:dyDescent="0.25">
      <c r="A213" s="2">
        <v>24</v>
      </c>
      <c r="B213" s="2">
        <v>2</v>
      </c>
      <c r="C213" s="2" t="s">
        <v>94</v>
      </c>
      <c r="D213" s="22">
        <v>3</v>
      </c>
      <c r="E213" s="2">
        <f t="shared" si="27"/>
        <v>2</v>
      </c>
      <c r="F213" s="2">
        <f t="shared" si="28"/>
        <v>3</v>
      </c>
      <c r="G213" s="2">
        <f t="shared" si="29"/>
        <v>4</v>
      </c>
      <c r="H213" s="16">
        <f t="shared" si="30"/>
        <v>0.10798193302637613</v>
      </c>
      <c r="I213" s="16">
        <f t="shared" si="31"/>
        <v>0.79788456080286541</v>
      </c>
      <c r="J213" s="16">
        <f t="shared" si="32"/>
        <v>0.10798193302637613</v>
      </c>
      <c r="K213" s="16">
        <f t="shared" si="33"/>
        <v>0.10650697891920077</v>
      </c>
      <c r="L213" s="16">
        <f t="shared" si="34"/>
        <v>0.78698604216159851</v>
      </c>
      <c r="M213" s="16">
        <f t="shared" si="35"/>
        <v>0.10650697891920077</v>
      </c>
    </row>
    <row r="214" spans="1:14" x14ac:dyDescent="0.25">
      <c r="A214" s="2">
        <v>24</v>
      </c>
      <c r="B214" s="2">
        <v>3</v>
      </c>
      <c r="C214" s="2" t="s">
        <v>94</v>
      </c>
      <c r="D214" s="22">
        <v>3</v>
      </c>
      <c r="E214" s="2">
        <f t="shared" si="27"/>
        <v>2</v>
      </c>
      <c r="F214" s="2">
        <f t="shared" si="28"/>
        <v>3</v>
      </c>
      <c r="G214" s="2">
        <f t="shared" si="29"/>
        <v>4</v>
      </c>
      <c r="H214" s="16">
        <f t="shared" si="30"/>
        <v>0.10798193302637613</v>
      </c>
      <c r="I214" s="16">
        <f t="shared" si="31"/>
        <v>0.79788456080286541</v>
      </c>
      <c r="J214" s="16">
        <f t="shared" si="32"/>
        <v>0.10798193302637613</v>
      </c>
      <c r="K214" s="16">
        <f t="shared" si="33"/>
        <v>0.10650697891920077</v>
      </c>
      <c r="L214" s="16">
        <f t="shared" si="34"/>
        <v>0.78698604216159851</v>
      </c>
      <c r="M214" s="16">
        <f t="shared" si="35"/>
        <v>0.10650697891920077</v>
      </c>
    </row>
    <row r="215" spans="1:14" x14ac:dyDescent="0.25">
      <c r="A215" s="17">
        <v>24</v>
      </c>
      <c r="B215" s="17">
        <v>1</v>
      </c>
      <c r="C215" s="17" t="s">
        <v>95</v>
      </c>
      <c r="D215" s="21">
        <v>1</v>
      </c>
      <c r="E215" s="17" t="str">
        <f t="shared" si="27"/>
        <v/>
      </c>
      <c r="F215" s="17">
        <f t="shared" si="28"/>
        <v>1</v>
      </c>
      <c r="G215" s="17">
        <f t="shared" si="29"/>
        <v>2</v>
      </c>
      <c r="H215" s="15" t="str">
        <f t="shared" si="30"/>
        <v/>
      </c>
      <c r="I215" s="15">
        <f t="shared" si="31"/>
        <v>0.79788456080286541</v>
      </c>
      <c r="J215" s="15">
        <f t="shared" si="32"/>
        <v>0.10798193302637613</v>
      </c>
      <c r="K215" s="15" t="str">
        <f t="shared" si="33"/>
        <v/>
      </c>
      <c r="L215" s="15">
        <f t="shared" si="34"/>
        <v>0.88079707797788243</v>
      </c>
      <c r="M215" s="15">
        <f t="shared" si="35"/>
        <v>0.11920292202211756</v>
      </c>
    </row>
    <row r="216" spans="1:14" x14ac:dyDescent="0.25">
      <c r="A216" s="17">
        <v>24</v>
      </c>
      <c r="B216" s="17">
        <v>2</v>
      </c>
      <c r="C216" s="17" t="s">
        <v>95</v>
      </c>
      <c r="D216" s="21">
        <v>2</v>
      </c>
      <c r="E216" s="17">
        <f t="shared" si="27"/>
        <v>1</v>
      </c>
      <c r="F216" s="17">
        <f t="shared" si="28"/>
        <v>2</v>
      </c>
      <c r="G216" s="17">
        <f t="shared" si="29"/>
        <v>3</v>
      </c>
      <c r="H216" s="15">
        <f t="shared" si="30"/>
        <v>0.10798193302637613</v>
      </c>
      <c r="I216" s="15">
        <f t="shared" si="31"/>
        <v>0.79788456080286541</v>
      </c>
      <c r="J216" s="15">
        <f t="shared" si="32"/>
        <v>0.10798193302637613</v>
      </c>
      <c r="K216" s="15">
        <f t="shared" si="33"/>
        <v>0.10650697891920077</v>
      </c>
      <c r="L216" s="15">
        <f t="shared" si="34"/>
        <v>0.78698604216159851</v>
      </c>
      <c r="M216" s="15">
        <f t="shared" si="35"/>
        <v>0.10650697891920077</v>
      </c>
    </row>
    <row r="217" spans="1:14" x14ac:dyDescent="0.25">
      <c r="A217" s="18">
        <v>24</v>
      </c>
      <c r="B217" s="18">
        <v>3</v>
      </c>
      <c r="C217" s="18" t="s">
        <v>95</v>
      </c>
      <c r="D217" s="23">
        <v>6</v>
      </c>
      <c r="E217" s="18">
        <f t="shared" si="27"/>
        <v>5</v>
      </c>
      <c r="F217" s="18">
        <f t="shared" si="28"/>
        <v>6</v>
      </c>
      <c r="G217" s="18">
        <f t="shared" si="29"/>
        <v>7</v>
      </c>
      <c r="H217" s="19">
        <f t="shared" si="30"/>
        <v>0.10798193302637613</v>
      </c>
      <c r="I217" s="19">
        <f t="shared" si="31"/>
        <v>0.79788456080286541</v>
      </c>
      <c r="J217" s="19">
        <f t="shared" si="32"/>
        <v>0.10798193302637613</v>
      </c>
      <c r="K217" s="19">
        <f t="shared" si="33"/>
        <v>0.10650697891920077</v>
      </c>
      <c r="L217" s="19">
        <f t="shared" si="34"/>
        <v>0.78698604216159851</v>
      </c>
      <c r="M217" s="19">
        <f t="shared" si="35"/>
        <v>0.10650697891920077</v>
      </c>
      <c r="N217" s="20" t="s">
        <v>105</v>
      </c>
    </row>
    <row r="218" spans="1:14" x14ac:dyDescent="0.25">
      <c r="A218" s="2">
        <v>24</v>
      </c>
      <c r="B218" s="2">
        <v>1</v>
      </c>
      <c r="C218" s="2" t="s">
        <v>96</v>
      </c>
      <c r="D218" s="22">
        <v>7</v>
      </c>
      <c r="E218" s="2">
        <f t="shared" si="27"/>
        <v>6</v>
      </c>
      <c r="F218" s="2">
        <f t="shared" si="28"/>
        <v>7</v>
      </c>
      <c r="G218" s="2">
        <f t="shared" si="29"/>
        <v>8</v>
      </c>
      <c r="H218" s="16">
        <f t="shared" si="30"/>
        <v>0.10798193302637613</v>
      </c>
      <c r="I218" s="16">
        <f t="shared" si="31"/>
        <v>0.79788456080286541</v>
      </c>
      <c r="J218" s="16">
        <f t="shared" si="32"/>
        <v>0.10798193302637613</v>
      </c>
      <c r="K218" s="16">
        <f t="shared" si="33"/>
        <v>0.10650697891920077</v>
      </c>
      <c r="L218" s="16">
        <f t="shared" si="34"/>
        <v>0.78698604216159851</v>
      </c>
      <c r="M218" s="16">
        <f t="shared" si="35"/>
        <v>0.10650697891920077</v>
      </c>
    </row>
    <row r="219" spans="1:14" x14ac:dyDescent="0.25">
      <c r="A219" s="2">
        <v>24</v>
      </c>
      <c r="B219" s="2">
        <v>2</v>
      </c>
      <c r="C219" s="2" t="s">
        <v>96</v>
      </c>
      <c r="D219" s="22">
        <v>9</v>
      </c>
      <c r="E219" s="2">
        <f t="shared" si="27"/>
        <v>8</v>
      </c>
      <c r="F219" s="2">
        <f t="shared" si="28"/>
        <v>9</v>
      </c>
      <c r="G219" s="2">
        <f t="shared" si="29"/>
        <v>10</v>
      </c>
      <c r="H219" s="16">
        <f t="shared" si="30"/>
        <v>0.10798193302637613</v>
      </c>
      <c r="I219" s="16">
        <f t="shared" si="31"/>
        <v>0.79788456080286541</v>
      </c>
      <c r="J219" s="16">
        <f t="shared" si="32"/>
        <v>0.10798193302637613</v>
      </c>
      <c r="K219" s="16">
        <f t="shared" si="33"/>
        <v>0.10650697891920077</v>
      </c>
      <c r="L219" s="16">
        <f t="shared" si="34"/>
        <v>0.78698604216159851</v>
      </c>
      <c r="M219" s="16">
        <f t="shared" si="35"/>
        <v>0.10650697891920077</v>
      </c>
    </row>
    <row r="220" spans="1:14" x14ac:dyDescent="0.25">
      <c r="A220" s="2">
        <v>24</v>
      </c>
      <c r="B220" s="2">
        <v>3</v>
      </c>
      <c r="C220" s="2" t="s">
        <v>96</v>
      </c>
      <c r="D220" s="22">
        <v>6</v>
      </c>
      <c r="E220" s="2">
        <f t="shared" si="27"/>
        <v>5</v>
      </c>
      <c r="F220" s="2">
        <f t="shared" si="28"/>
        <v>6</v>
      </c>
      <c r="G220" s="2">
        <f t="shared" si="29"/>
        <v>7</v>
      </c>
      <c r="H220" s="16">
        <f t="shared" si="30"/>
        <v>0.10798193302637613</v>
      </c>
      <c r="I220" s="16">
        <f t="shared" si="31"/>
        <v>0.79788456080286541</v>
      </c>
      <c r="J220" s="16">
        <f t="shared" si="32"/>
        <v>0.10798193302637613</v>
      </c>
      <c r="K220" s="16">
        <f t="shared" si="33"/>
        <v>0.10650697891920077</v>
      </c>
      <c r="L220" s="16">
        <f t="shared" si="34"/>
        <v>0.78698604216159851</v>
      </c>
      <c r="M220" s="16">
        <f t="shared" si="35"/>
        <v>0.10650697891920077</v>
      </c>
    </row>
    <row r="221" spans="1:14" x14ac:dyDescent="0.25">
      <c r="A221" s="18">
        <v>25</v>
      </c>
      <c r="B221" s="18">
        <v>1</v>
      </c>
      <c r="C221" s="18" t="s">
        <v>94</v>
      </c>
      <c r="D221" s="23">
        <v>10</v>
      </c>
      <c r="E221" s="18">
        <f t="shared" si="27"/>
        <v>9</v>
      </c>
      <c r="F221" s="18">
        <f t="shared" si="28"/>
        <v>10</v>
      </c>
      <c r="G221" s="18" t="str">
        <f t="shared" si="29"/>
        <v/>
      </c>
      <c r="H221" s="19">
        <f t="shared" si="30"/>
        <v>0.10798193302637613</v>
      </c>
      <c r="I221" s="19">
        <f t="shared" si="31"/>
        <v>0.79788456080286541</v>
      </c>
      <c r="J221" s="19" t="str">
        <f t="shared" si="32"/>
        <v/>
      </c>
      <c r="K221" s="19">
        <f t="shared" si="33"/>
        <v>0.11920292202211756</v>
      </c>
      <c r="L221" s="19">
        <f t="shared" si="34"/>
        <v>0.88079707797788243</v>
      </c>
      <c r="M221" s="19" t="str">
        <f t="shared" si="35"/>
        <v/>
      </c>
      <c r="N221" s="20" t="s">
        <v>105</v>
      </c>
    </row>
    <row r="222" spans="1:14" x14ac:dyDescent="0.25">
      <c r="A222" s="17">
        <v>25</v>
      </c>
      <c r="B222" s="17">
        <v>2</v>
      </c>
      <c r="C222" s="17" t="s">
        <v>94</v>
      </c>
      <c r="D222" s="21">
        <v>2</v>
      </c>
      <c r="E222" s="17">
        <f t="shared" si="27"/>
        <v>1</v>
      </c>
      <c r="F222" s="17">
        <f t="shared" si="28"/>
        <v>2</v>
      </c>
      <c r="G222" s="17">
        <f t="shared" si="29"/>
        <v>3</v>
      </c>
      <c r="H222" s="15">
        <f t="shared" si="30"/>
        <v>0.10798193302637613</v>
      </c>
      <c r="I222" s="15">
        <f t="shared" si="31"/>
        <v>0.79788456080286541</v>
      </c>
      <c r="J222" s="15">
        <f t="shared" si="32"/>
        <v>0.10798193302637613</v>
      </c>
      <c r="K222" s="15">
        <f t="shared" si="33"/>
        <v>0.10650697891920077</v>
      </c>
      <c r="L222" s="15">
        <f t="shared" si="34"/>
        <v>0.78698604216159851</v>
      </c>
      <c r="M222" s="15">
        <f t="shared" si="35"/>
        <v>0.10650697891920077</v>
      </c>
    </row>
    <row r="223" spans="1:14" x14ac:dyDescent="0.25">
      <c r="A223" s="17">
        <v>25</v>
      </c>
      <c r="B223" s="17">
        <v>3</v>
      </c>
      <c r="C223" s="17" t="s">
        <v>94</v>
      </c>
      <c r="D223" s="21">
        <v>3</v>
      </c>
      <c r="E223" s="17">
        <f t="shared" si="27"/>
        <v>2</v>
      </c>
      <c r="F223" s="17">
        <f t="shared" si="28"/>
        <v>3</v>
      </c>
      <c r="G223" s="17">
        <f t="shared" si="29"/>
        <v>4</v>
      </c>
      <c r="H223" s="15">
        <f t="shared" si="30"/>
        <v>0.10798193302637613</v>
      </c>
      <c r="I223" s="15">
        <f t="shared" si="31"/>
        <v>0.79788456080286541</v>
      </c>
      <c r="J223" s="15">
        <f t="shared" si="32"/>
        <v>0.10798193302637613</v>
      </c>
      <c r="K223" s="15">
        <f t="shared" si="33"/>
        <v>0.10650697891920077</v>
      </c>
      <c r="L223" s="15">
        <f t="shared" si="34"/>
        <v>0.78698604216159851</v>
      </c>
      <c r="M223" s="15">
        <f t="shared" si="35"/>
        <v>0.10650697891920077</v>
      </c>
    </row>
    <row r="224" spans="1:14" x14ac:dyDescent="0.25">
      <c r="A224" s="18">
        <v>25</v>
      </c>
      <c r="B224" s="18">
        <v>1</v>
      </c>
      <c r="C224" s="18" t="s">
        <v>95</v>
      </c>
      <c r="D224" s="23">
        <v>1</v>
      </c>
      <c r="E224" s="18" t="str">
        <f t="shared" si="27"/>
        <v/>
      </c>
      <c r="F224" s="18">
        <f t="shared" si="28"/>
        <v>1</v>
      </c>
      <c r="G224" s="18">
        <f t="shared" si="29"/>
        <v>2</v>
      </c>
      <c r="H224" s="19" t="str">
        <f t="shared" si="30"/>
        <v/>
      </c>
      <c r="I224" s="19">
        <f t="shared" si="31"/>
        <v>0.79788456080286541</v>
      </c>
      <c r="J224" s="19">
        <f t="shared" si="32"/>
        <v>0.10798193302637613</v>
      </c>
      <c r="K224" s="19" t="str">
        <f t="shared" si="33"/>
        <v/>
      </c>
      <c r="L224" s="19">
        <f t="shared" si="34"/>
        <v>0.88079707797788243</v>
      </c>
      <c r="M224" s="19">
        <f t="shared" si="35"/>
        <v>0.11920292202211756</v>
      </c>
      <c r="N224" s="20" t="s">
        <v>105</v>
      </c>
    </row>
    <row r="225" spans="1:14" x14ac:dyDescent="0.25">
      <c r="A225" s="2">
        <v>25</v>
      </c>
      <c r="B225" s="2">
        <v>2</v>
      </c>
      <c r="C225" s="2" t="s">
        <v>95</v>
      </c>
      <c r="D225" s="22">
        <v>5</v>
      </c>
      <c r="E225" s="2">
        <f t="shared" si="27"/>
        <v>4</v>
      </c>
      <c r="F225" s="2">
        <f t="shared" si="28"/>
        <v>5</v>
      </c>
      <c r="G225" s="2">
        <f t="shared" si="29"/>
        <v>6</v>
      </c>
      <c r="H225" s="16">
        <f t="shared" si="30"/>
        <v>0.10798193302637613</v>
      </c>
      <c r="I225" s="16">
        <f t="shared" si="31"/>
        <v>0.79788456080286541</v>
      </c>
      <c r="J225" s="16">
        <f t="shared" si="32"/>
        <v>0.10798193302637613</v>
      </c>
      <c r="K225" s="16">
        <f t="shared" si="33"/>
        <v>0.10650697891920077</v>
      </c>
      <c r="L225" s="16">
        <f t="shared" si="34"/>
        <v>0.78698604216159851</v>
      </c>
      <c r="M225" s="16">
        <f t="shared" si="35"/>
        <v>0.10650697891920077</v>
      </c>
    </row>
    <row r="226" spans="1:14" x14ac:dyDescent="0.25">
      <c r="A226" s="2">
        <v>25</v>
      </c>
      <c r="B226" s="2">
        <v>3</v>
      </c>
      <c r="C226" s="2" t="s">
        <v>95</v>
      </c>
      <c r="D226" s="22">
        <v>7</v>
      </c>
      <c r="E226" s="2">
        <f t="shared" si="27"/>
        <v>6</v>
      </c>
      <c r="F226" s="2">
        <f t="shared" si="28"/>
        <v>7</v>
      </c>
      <c r="G226" s="2">
        <f t="shared" si="29"/>
        <v>8</v>
      </c>
      <c r="H226" s="16">
        <f t="shared" si="30"/>
        <v>0.10798193302637613</v>
      </c>
      <c r="I226" s="16">
        <f t="shared" si="31"/>
        <v>0.79788456080286541</v>
      </c>
      <c r="J226" s="16">
        <f t="shared" si="32"/>
        <v>0.10798193302637613</v>
      </c>
      <c r="K226" s="16">
        <f t="shared" si="33"/>
        <v>0.10650697891920077</v>
      </c>
      <c r="L226" s="16">
        <f t="shared" si="34"/>
        <v>0.78698604216159851</v>
      </c>
      <c r="M226" s="16">
        <f t="shared" si="35"/>
        <v>0.10650697891920077</v>
      </c>
    </row>
    <row r="227" spans="1:14" x14ac:dyDescent="0.25">
      <c r="A227" s="17">
        <v>25</v>
      </c>
      <c r="B227" s="17">
        <v>1</v>
      </c>
      <c r="C227" s="17" t="s">
        <v>96</v>
      </c>
      <c r="D227" s="21">
        <v>4</v>
      </c>
      <c r="E227" s="17">
        <f t="shared" si="27"/>
        <v>3</v>
      </c>
      <c r="F227" s="17">
        <f t="shared" si="28"/>
        <v>4</v>
      </c>
      <c r="G227" s="17">
        <f t="shared" si="29"/>
        <v>5</v>
      </c>
      <c r="H227" s="15">
        <f t="shared" si="30"/>
        <v>0.10798193302637613</v>
      </c>
      <c r="I227" s="15">
        <f t="shared" si="31"/>
        <v>0.79788456080286541</v>
      </c>
      <c r="J227" s="15">
        <f t="shared" si="32"/>
        <v>0.10798193302637613</v>
      </c>
      <c r="K227" s="15">
        <f t="shared" si="33"/>
        <v>0.10650697891920077</v>
      </c>
      <c r="L227" s="15">
        <f t="shared" si="34"/>
        <v>0.78698604216159851</v>
      </c>
      <c r="M227" s="15">
        <f t="shared" si="35"/>
        <v>0.10650697891920077</v>
      </c>
    </row>
    <row r="228" spans="1:14" x14ac:dyDescent="0.25">
      <c r="A228" s="18">
        <v>25</v>
      </c>
      <c r="B228" s="18">
        <v>2</v>
      </c>
      <c r="C228" s="18" t="s">
        <v>96</v>
      </c>
      <c r="D228" s="23">
        <v>7</v>
      </c>
      <c r="E228" s="18">
        <f t="shared" si="27"/>
        <v>6</v>
      </c>
      <c r="F228" s="18">
        <f t="shared" si="28"/>
        <v>7</v>
      </c>
      <c r="G228" s="18">
        <f t="shared" si="29"/>
        <v>8</v>
      </c>
      <c r="H228" s="19">
        <f t="shared" si="30"/>
        <v>0.10798193302637613</v>
      </c>
      <c r="I228" s="19">
        <f t="shared" si="31"/>
        <v>0.79788456080286541</v>
      </c>
      <c r="J228" s="19">
        <f t="shared" si="32"/>
        <v>0.10798193302637613</v>
      </c>
      <c r="K228" s="19">
        <f t="shared" si="33"/>
        <v>0.10650697891920077</v>
      </c>
      <c r="L228" s="19">
        <f t="shared" si="34"/>
        <v>0.78698604216159851</v>
      </c>
      <c r="M228" s="19">
        <f t="shared" si="35"/>
        <v>0.10650697891920077</v>
      </c>
      <c r="N228" s="20" t="s">
        <v>105</v>
      </c>
    </row>
    <row r="229" spans="1:14" x14ac:dyDescent="0.25">
      <c r="A229" s="17">
        <v>25</v>
      </c>
      <c r="B229" s="17">
        <v>3</v>
      </c>
      <c r="C229" s="17" t="s">
        <v>96</v>
      </c>
      <c r="D229" s="21">
        <v>4</v>
      </c>
      <c r="E229" s="17">
        <f t="shared" si="27"/>
        <v>3</v>
      </c>
      <c r="F229" s="17">
        <f t="shared" si="28"/>
        <v>4</v>
      </c>
      <c r="G229" s="17">
        <f t="shared" si="29"/>
        <v>5</v>
      </c>
      <c r="H229" s="15">
        <f t="shared" si="30"/>
        <v>0.10798193302637613</v>
      </c>
      <c r="I229" s="15">
        <f t="shared" si="31"/>
        <v>0.79788456080286541</v>
      </c>
      <c r="J229" s="15">
        <f t="shared" si="32"/>
        <v>0.10798193302637613</v>
      </c>
      <c r="K229" s="15">
        <f t="shared" si="33"/>
        <v>0.10650697891920077</v>
      </c>
      <c r="L229" s="15">
        <f t="shared" si="34"/>
        <v>0.78698604216159851</v>
      </c>
      <c r="M229" s="15">
        <f t="shared" si="35"/>
        <v>0.10650697891920077</v>
      </c>
    </row>
    <row r="230" spans="1:14" x14ac:dyDescent="0.25">
      <c r="A230" s="2">
        <v>26</v>
      </c>
      <c r="B230" s="2">
        <v>1</v>
      </c>
      <c r="C230" s="2" t="s">
        <v>94</v>
      </c>
      <c r="D230" s="22">
        <v>7</v>
      </c>
      <c r="E230" s="2">
        <f t="shared" si="27"/>
        <v>6</v>
      </c>
      <c r="F230" s="2">
        <f t="shared" si="28"/>
        <v>7</v>
      </c>
      <c r="G230" s="2">
        <f t="shared" si="29"/>
        <v>8</v>
      </c>
      <c r="H230" s="16">
        <f t="shared" si="30"/>
        <v>0.10798193302637613</v>
      </c>
      <c r="I230" s="16">
        <f t="shared" si="31"/>
        <v>0.79788456080286541</v>
      </c>
      <c r="J230" s="16">
        <f t="shared" si="32"/>
        <v>0.10798193302637613</v>
      </c>
      <c r="K230" s="16">
        <f t="shared" si="33"/>
        <v>0.10650697891920077</v>
      </c>
      <c r="L230" s="16">
        <f t="shared" si="34"/>
        <v>0.78698604216159851</v>
      </c>
      <c r="M230" s="16">
        <f t="shared" si="35"/>
        <v>0.10650697891920077</v>
      </c>
    </row>
    <row r="231" spans="1:14" x14ac:dyDescent="0.25">
      <c r="A231" s="2">
        <v>26</v>
      </c>
      <c r="B231" s="2">
        <v>2</v>
      </c>
      <c r="C231" s="2" t="s">
        <v>94</v>
      </c>
      <c r="D231" s="22">
        <v>6</v>
      </c>
      <c r="E231" s="2">
        <f t="shared" si="27"/>
        <v>5</v>
      </c>
      <c r="F231" s="2">
        <f t="shared" si="28"/>
        <v>6</v>
      </c>
      <c r="G231" s="2">
        <f t="shared" si="29"/>
        <v>7</v>
      </c>
      <c r="H231" s="16">
        <f t="shared" si="30"/>
        <v>0.10798193302637613</v>
      </c>
      <c r="I231" s="16">
        <f t="shared" si="31"/>
        <v>0.79788456080286541</v>
      </c>
      <c r="J231" s="16">
        <f t="shared" si="32"/>
        <v>0.10798193302637613</v>
      </c>
      <c r="K231" s="16">
        <f t="shared" si="33"/>
        <v>0.10650697891920077</v>
      </c>
      <c r="L231" s="16">
        <f t="shared" si="34"/>
        <v>0.78698604216159851</v>
      </c>
      <c r="M231" s="16">
        <f t="shared" si="35"/>
        <v>0.10650697891920077</v>
      </c>
    </row>
    <row r="232" spans="1:14" x14ac:dyDescent="0.25">
      <c r="A232" s="2">
        <v>26</v>
      </c>
      <c r="B232" s="2">
        <v>3</v>
      </c>
      <c r="C232" s="2" t="s">
        <v>94</v>
      </c>
      <c r="D232" s="22">
        <v>7</v>
      </c>
      <c r="E232" s="2">
        <f t="shared" si="27"/>
        <v>6</v>
      </c>
      <c r="F232" s="2">
        <f t="shared" si="28"/>
        <v>7</v>
      </c>
      <c r="G232" s="2">
        <f t="shared" si="29"/>
        <v>8</v>
      </c>
      <c r="H232" s="16">
        <f t="shared" si="30"/>
        <v>0.10798193302637613</v>
      </c>
      <c r="I232" s="16">
        <f t="shared" si="31"/>
        <v>0.79788456080286541</v>
      </c>
      <c r="J232" s="16">
        <f t="shared" si="32"/>
        <v>0.10798193302637613</v>
      </c>
      <c r="K232" s="16">
        <f t="shared" si="33"/>
        <v>0.10650697891920077</v>
      </c>
      <c r="L232" s="16">
        <f t="shared" si="34"/>
        <v>0.78698604216159851</v>
      </c>
      <c r="M232" s="16">
        <f t="shared" si="35"/>
        <v>0.10650697891920077</v>
      </c>
    </row>
    <row r="233" spans="1:14" x14ac:dyDescent="0.25">
      <c r="A233" s="17">
        <v>26</v>
      </c>
      <c r="B233" s="17">
        <v>1</v>
      </c>
      <c r="C233" s="17" t="s">
        <v>95</v>
      </c>
      <c r="D233" s="21">
        <v>3</v>
      </c>
      <c r="E233" s="17">
        <f t="shared" si="27"/>
        <v>2</v>
      </c>
      <c r="F233" s="17">
        <f t="shared" si="28"/>
        <v>3</v>
      </c>
      <c r="G233" s="17">
        <f t="shared" si="29"/>
        <v>4</v>
      </c>
      <c r="H233" s="15">
        <f t="shared" si="30"/>
        <v>0.10798193302637613</v>
      </c>
      <c r="I233" s="15">
        <f t="shared" si="31"/>
        <v>0.79788456080286541</v>
      </c>
      <c r="J233" s="15">
        <f t="shared" si="32"/>
        <v>0.10798193302637613</v>
      </c>
      <c r="K233" s="15">
        <f t="shared" si="33"/>
        <v>0.10650697891920077</v>
      </c>
      <c r="L233" s="15">
        <f t="shared" si="34"/>
        <v>0.78698604216159851</v>
      </c>
      <c r="M233" s="15">
        <f t="shared" si="35"/>
        <v>0.10650697891920077</v>
      </c>
    </row>
    <row r="234" spans="1:14" x14ac:dyDescent="0.25">
      <c r="A234" s="17">
        <v>26</v>
      </c>
      <c r="B234" s="17">
        <v>2</v>
      </c>
      <c r="C234" s="17" t="s">
        <v>95</v>
      </c>
      <c r="D234" s="21">
        <v>2</v>
      </c>
      <c r="E234" s="17">
        <f t="shared" si="27"/>
        <v>1</v>
      </c>
      <c r="F234" s="17">
        <f t="shared" si="28"/>
        <v>2</v>
      </c>
      <c r="G234" s="17">
        <f t="shared" si="29"/>
        <v>3</v>
      </c>
      <c r="H234" s="15">
        <f t="shared" si="30"/>
        <v>0.10798193302637613</v>
      </c>
      <c r="I234" s="15">
        <f t="shared" si="31"/>
        <v>0.79788456080286541</v>
      </c>
      <c r="J234" s="15">
        <f t="shared" si="32"/>
        <v>0.10798193302637613</v>
      </c>
      <c r="K234" s="15">
        <f t="shared" si="33"/>
        <v>0.10650697891920077</v>
      </c>
      <c r="L234" s="15">
        <f t="shared" si="34"/>
        <v>0.78698604216159851</v>
      </c>
      <c r="M234" s="15">
        <f t="shared" si="35"/>
        <v>0.10650697891920077</v>
      </c>
    </row>
    <row r="235" spans="1:14" x14ac:dyDescent="0.25">
      <c r="A235" s="17">
        <v>26</v>
      </c>
      <c r="B235" s="17">
        <v>3</v>
      </c>
      <c r="C235" s="17" t="s">
        <v>95</v>
      </c>
      <c r="D235" s="21">
        <v>3</v>
      </c>
      <c r="E235" s="17">
        <f t="shared" si="27"/>
        <v>2</v>
      </c>
      <c r="F235" s="17">
        <f t="shared" si="28"/>
        <v>3</v>
      </c>
      <c r="G235" s="17">
        <f t="shared" si="29"/>
        <v>4</v>
      </c>
      <c r="H235" s="15">
        <f t="shared" si="30"/>
        <v>0.10798193302637613</v>
      </c>
      <c r="I235" s="15">
        <f t="shared" si="31"/>
        <v>0.79788456080286541</v>
      </c>
      <c r="J235" s="15">
        <f t="shared" si="32"/>
        <v>0.10798193302637613</v>
      </c>
      <c r="K235" s="15">
        <f t="shared" si="33"/>
        <v>0.10650697891920077</v>
      </c>
      <c r="L235" s="15">
        <f t="shared" si="34"/>
        <v>0.78698604216159851</v>
      </c>
      <c r="M235" s="15">
        <f t="shared" si="35"/>
        <v>0.10650697891920077</v>
      </c>
    </row>
    <row r="236" spans="1:14" x14ac:dyDescent="0.25">
      <c r="A236" s="18">
        <v>26</v>
      </c>
      <c r="B236" s="18">
        <v>1</v>
      </c>
      <c r="C236" s="18" t="s">
        <v>96</v>
      </c>
      <c r="D236" s="23">
        <v>3</v>
      </c>
      <c r="E236" s="18">
        <f t="shared" si="27"/>
        <v>2</v>
      </c>
      <c r="F236" s="18">
        <f t="shared" si="28"/>
        <v>3</v>
      </c>
      <c r="G236" s="18">
        <f t="shared" si="29"/>
        <v>4</v>
      </c>
      <c r="H236" s="19">
        <f t="shared" si="30"/>
        <v>0.10798193302637613</v>
      </c>
      <c r="I236" s="19">
        <f t="shared" si="31"/>
        <v>0.79788456080286541</v>
      </c>
      <c r="J236" s="19">
        <f t="shared" si="32"/>
        <v>0.10798193302637613</v>
      </c>
      <c r="K236" s="19">
        <f t="shared" si="33"/>
        <v>0.10650697891920077</v>
      </c>
      <c r="L236" s="19">
        <f t="shared" si="34"/>
        <v>0.78698604216159851</v>
      </c>
      <c r="M236" s="19">
        <f t="shared" si="35"/>
        <v>0.10650697891920077</v>
      </c>
      <c r="N236" s="20" t="s">
        <v>105</v>
      </c>
    </row>
    <row r="237" spans="1:14" x14ac:dyDescent="0.25">
      <c r="A237" s="2">
        <v>26</v>
      </c>
      <c r="B237" s="2">
        <v>2</v>
      </c>
      <c r="C237" s="2" t="s">
        <v>96</v>
      </c>
      <c r="D237" s="22">
        <v>6</v>
      </c>
      <c r="E237" s="2">
        <f t="shared" si="27"/>
        <v>5</v>
      </c>
      <c r="F237" s="2">
        <f t="shared" si="28"/>
        <v>6</v>
      </c>
      <c r="G237" s="2">
        <f t="shared" si="29"/>
        <v>7</v>
      </c>
      <c r="H237" s="16">
        <f t="shared" si="30"/>
        <v>0.10798193302637613</v>
      </c>
      <c r="I237" s="16">
        <f t="shared" si="31"/>
        <v>0.79788456080286541</v>
      </c>
      <c r="J237" s="16">
        <f t="shared" si="32"/>
        <v>0.10798193302637613</v>
      </c>
      <c r="K237" s="16">
        <f t="shared" si="33"/>
        <v>0.10650697891920077</v>
      </c>
      <c r="L237" s="16">
        <f t="shared" si="34"/>
        <v>0.78698604216159851</v>
      </c>
      <c r="M237" s="16">
        <f t="shared" si="35"/>
        <v>0.10650697891920077</v>
      </c>
    </row>
    <row r="238" spans="1:14" x14ac:dyDescent="0.25">
      <c r="A238" s="2">
        <v>26</v>
      </c>
      <c r="B238" s="2">
        <v>3</v>
      </c>
      <c r="C238" s="2" t="s">
        <v>96</v>
      </c>
      <c r="D238" s="22">
        <v>6</v>
      </c>
      <c r="E238" s="2">
        <f t="shared" si="27"/>
        <v>5</v>
      </c>
      <c r="F238" s="2">
        <f t="shared" si="28"/>
        <v>6</v>
      </c>
      <c r="G238" s="2">
        <f t="shared" si="29"/>
        <v>7</v>
      </c>
      <c r="H238" s="16">
        <f t="shared" si="30"/>
        <v>0.10798193302637613</v>
      </c>
      <c r="I238" s="16">
        <f t="shared" si="31"/>
        <v>0.79788456080286541</v>
      </c>
      <c r="J238" s="16">
        <f t="shared" si="32"/>
        <v>0.10798193302637613</v>
      </c>
      <c r="K238" s="16">
        <f t="shared" si="33"/>
        <v>0.10650697891920077</v>
      </c>
      <c r="L238" s="16">
        <f t="shared" si="34"/>
        <v>0.78698604216159851</v>
      </c>
      <c r="M238" s="16">
        <f t="shared" si="35"/>
        <v>0.10650697891920077</v>
      </c>
    </row>
    <row r="239" spans="1:14" x14ac:dyDescent="0.25">
      <c r="A239" s="17">
        <v>27</v>
      </c>
      <c r="B239" s="17">
        <v>1</v>
      </c>
      <c r="C239" s="17" t="s">
        <v>94</v>
      </c>
      <c r="D239" s="21">
        <v>10</v>
      </c>
      <c r="E239" s="17">
        <f t="shared" si="27"/>
        <v>9</v>
      </c>
      <c r="F239" s="17">
        <f t="shared" si="28"/>
        <v>10</v>
      </c>
      <c r="G239" s="17" t="str">
        <f t="shared" si="29"/>
        <v/>
      </c>
      <c r="H239" s="15">
        <f t="shared" si="30"/>
        <v>0.10798193302637613</v>
      </c>
      <c r="I239" s="15">
        <f t="shared" si="31"/>
        <v>0.79788456080286541</v>
      </c>
      <c r="J239" s="15" t="str">
        <f t="shared" si="32"/>
        <v/>
      </c>
      <c r="K239" s="15">
        <f t="shared" si="33"/>
        <v>0.11920292202211756</v>
      </c>
      <c r="L239" s="15">
        <f t="shared" si="34"/>
        <v>0.88079707797788243</v>
      </c>
      <c r="M239" s="15" t="str">
        <f t="shared" si="35"/>
        <v/>
      </c>
    </row>
    <row r="240" spans="1:14" x14ac:dyDescent="0.25">
      <c r="A240" s="17">
        <v>27</v>
      </c>
      <c r="B240" s="17">
        <v>2</v>
      </c>
      <c r="C240" s="17" t="s">
        <v>94</v>
      </c>
      <c r="D240" s="21">
        <v>6</v>
      </c>
      <c r="E240" s="17">
        <f t="shared" si="27"/>
        <v>5</v>
      </c>
      <c r="F240" s="17">
        <f t="shared" si="28"/>
        <v>6</v>
      </c>
      <c r="G240" s="17">
        <f t="shared" si="29"/>
        <v>7</v>
      </c>
      <c r="H240" s="15">
        <f t="shared" si="30"/>
        <v>0.10798193302637613</v>
      </c>
      <c r="I240" s="15">
        <f t="shared" si="31"/>
        <v>0.79788456080286541</v>
      </c>
      <c r="J240" s="15">
        <f t="shared" si="32"/>
        <v>0.10798193302637613</v>
      </c>
      <c r="K240" s="15">
        <f t="shared" si="33"/>
        <v>0.10650697891920077</v>
      </c>
      <c r="L240" s="15">
        <f t="shared" si="34"/>
        <v>0.78698604216159851</v>
      </c>
      <c r="M240" s="15">
        <f t="shared" si="35"/>
        <v>0.10650697891920077</v>
      </c>
    </row>
    <row r="241" spans="1:14" x14ac:dyDescent="0.25">
      <c r="A241" s="17">
        <v>27</v>
      </c>
      <c r="B241" s="17">
        <v>3</v>
      </c>
      <c r="C241" s="17" t="s">
        <v>94</v>
      </c>
      <c r="D241" s="21">
        <v>8</v>
      </c>
      <c r="E241" s="17">
        <f t="shared" si="27"/>
        <v>7</v>
      </c>
      <c r="F241" s="17">
        <f t="shared" si="28"/>
        <v>8</v>
      </c>
      <c r="G241" s="17">
        <f t="shared" si="29"/>
        <v>9</v>
      </c>
      <c r="H241" s="15">
        <f t="shared" si="30"/>
        <v>0.10798193302637613</v>
      </c>
      <c r="I241" s="15">
        <f t="shared" si="31"/>
        <v>0.79788456080286541</v>
      </c>
      <c r="J241" s="15">
        <f t="shared" si="32"/>
        <v>0.10798193302637613</v>
      </c>
      <c r="K241" s="15">
        <f t="shared" si="33"/>
        <v>0.10650697891920077</v>
      </c>
      <c r="L241" s="15">
        <f t="shared" si="34"/>
        <v>0.78698604216159851</v>
      </c>
      <c r="M241" s="15">
        <f t="shared" si="35"/>
        <v>0.10650697891920077</v>
      </c>
    </row>
    <row r="242" spans="1:14" x14ac:dyDescent="0.25">
      <c r="A242" s="2">
        <v>27</v>
      </c>
      <c r="B242" s="2">
        <v>1</v>
      </c>
      <c r="C242" s="2" t="s">
        <v>95</v>
      </c>
      <c r="D242" s="22">
        <v>1</v>
      </c>
      <c r="E242" s="2" t="str">
        <f t="shared" si="27"/>
        <v/>
      </c>
      <c r="F242" s="2">
        <f t="shared" si="28"/>
        <v>1</v>
      </c>
      <c r="G242" s="2">
        <f t="shared" si="29"/>
        <v>2</v>
      </c>
      <c r="H242" s="16" t="str">
        <f t="shared" si="30"/>
        <v/>
      </c>
      <c r="I242" s="16">
        <f t="shared" si="31"/>
        <v>0.79788456080286541</v>
      </c>
      <c r="J242" s="16">
        <f t="shared" si="32"/>
        <v>0.10798193302637613</v>
      </c>
      <c r="K242" s="16" t="str">
        <f t="shared" si="33"/>
        <v/>
      </c>
      <c r="L242" s="16">
        <f t="shared" si="34"/>
        <v>0.88079707797788243</v>
      </c>
      <c r="M242" s="16">
        <f t="shared" si="35"/>
        <v>0.11920292202211756</v>
      </c>
    </row>
    <row r="243" spans="1:14" x14ac:dyDescent="0.25">
      <c r="A243" s="2">
        <v>27</v>
      </c>
      <c r="B243" s="2">
        <v>2</v>
      </c>
      <c r="C243" s="2" t="s">
        <v>95</v>
      </c>
      <c r="D243" s="22">
        <v>4</v>
      </c>
      <c r="E243" s="2">
        <f t="shared" si="27"/>
        <v>3</v>
      </c>
      <c r="F243" s="2">
        <f t="shared" si="28"/>
        <v>4</v>
      </c>
      <c r="G243" s="2">
        <f t="shared" si="29"/>
        <v>5</v>
      </c>
      <c r="H243" s="16">
        <f t="shared" si="30"/>
        <v>0.10798193302637613</v>
      </c>
      <c r="I243" s="16">
        <f t="shared" si="31"/>
        <v>0.79788456080286541</v>
      </c>
      <c r="J243" s="16">
        <f t="shared" si="32"/>
        <v>0.10798193302637613</v>
      </c>
      <c r="K243" s="16">
        <f t="shared" si="33"/>
        <v>0.10650697891920077</v>
      </c>
      <c r="L243" s="16">
        <f t="shared" si="34"/>
        <v>0.78698604216159851</v>
      </c>
      <c r="M243" s="16">
        <f t="shared" si="35"/>
        <v>0.10650697891920077</v>
      </c>
    </row>
    <row r="244" spans="1:14" x14ac:dyDescent="0.25">
      <c r="A244" s="2">
        <v>27</v>
      </c>
      <c r="B244" s="2">
        <v>3</v>
      </c>
      <c r="C244" s="2" t="s">
        <v>95</v>
      </c>
      <c r="D244" s="22">
        <v>3</v>
      </c>
      <c r="E244" s="2">
        <f t="shared" si="27"/>
        <v>2</v>
      </c>
      <c r="F244" s="2">
        <f t="shared" si="28"/>
        <v>3</v>
      </c>
      <c r="G244" s="2">
        <f t="shared" si="29"/>
        <v>4</v>
      </c>
      <c r="H244" s="16">
        <f t="shared" si="30"/>
        <v>0.10798193302637613</v>
      </c>
      <c r="I244" s="16">
        <f t="shared" si="31"/>
        <v>0.79788456080286541</v>
      </c>
      <c r="J244" s="16">
        <f t="shared" si="32"/>
        <v>0.10798193302637613</v>
      </c>
      <c r="K244" s="16">
        <f t="shared" si="33"/>
        <v>0.10650697891920077</v>
      </c>
      <c r="L244" s="16">
        <f t="shared" si="34"/>
        <v>0.78698604216159851</v>
      </c>
      <c r="M244" s="16">
        <f t="shared" si="35"/>
        <v>0.10650697891920077</v>
      </c>
    </row>
    <row r="245" spans="1:14" x14ac:dyDescent="0.25">
      <c r="A245" s="17">
        <v>27</v>
      </c>
      <c r="B245" s="17">
        <v>1</v>
      </c>
      <c r="C245" s="17" t="s">
        <v>96</v>
      </c>
      <c r="D245" s="21">
        <v>6</v>
      </c>
      <c r="E245" s="17">
        <f t="shared" si="27"/>
        <v>5</v>
      </c>
      <c r="F245" s="17">
        <f t="shared" si="28"/>
        <v>6</v>
      </c>
      <c r="G245" s="17">
        <f t="shared" si="29"/>
        <v>7</v>
      </c>
      <c r="H245" s="15">
        <f t="shared" si="30"/>
        <v>0.10798193302637613</v>
      </c>
      <c r="I245" s="15">
        <f t="shared" si="31"/>
        <v>0.79788456080286541</v>
      </c>
      <c r="J245" s="15">
        <f t="shared" si="32"/>
        <v>0.10798193302637613</v>
      </c>
      <c r="K245" s="15">
        <f t="shared" si="33"/>
        <v>0.10650697891920077</v>
      </c>
      <c r="L245" s="15">
        <f t="shared" si="34"/>
        <v>0.78698604216159851</v>
      </c>
      <c r="M245" s="15">
        <f t="shared" si="35"/>
        <v>0.10650697891920077</v>
      </c>
    </row>
    <row r="246" spans="1:14" x14ac:dyDescent="0.25">
      <c r="A246" s="17">
        <v>27</v>
      </c>
      <c r="B246" s="17">
        <v>2</v>
      </c>
      <c r="C246" s="17" t="s">
        <v>96</v>
      </c>
      <c r="D246" s="21">
        <v>9</v>
      </c>
      <c r="E246" s="17">
        <f t="shared" si="27"/>
        <v>8</v>
      </c>
      <c r="F246" s="17">
        <f t="shared" si="28"/>
        <v>9</v>
      </c>
      <c r="G246" s="17">
        <f t="shared" si="29"/>
        <v>10</v>
      </c>
      <c r="H246" s="15">
        <f t="shared" si="30"/>
        <v>0.10798193302637613</v>
      </c>
      <c r="I246" s="15">
        <f t="shared" si="31"/>
        <v>0.79788456080286541</v>
      </c>
      <c r="J246" s="15">
        <f t="shared" si="32"/>
        <v>0.10798193302637613</v>
      </c>
      <c r="K246" s="15">
        <f t="shared" si="33"/>
        <v>0.10650697891920077</v>
      </c>
      <c r="L246" s="15">
        <f t="shared" si="34"/>
        <v>0.78698604216159851</v>
      </c>
      <c r="M246" s="15">
        <f t="shared" si="35"/>
        <v>0.10650697891920077</v>
      </c>
    </row>
    <row r="247" spans="1:14" x14ac:dyDescent="0.25">
      <c r="A247" s="17">
        <v>27</v>
      </c>
      <c r="B247" s="17">
        <v>3</v>
      </c>
      <c r="C247" s="17" t="s">
        <v>96</v>
      </c>
      <c r="D247" s="21">
        <v>7</v>
      </c>
      <c r="E247" s="17">
        <f t="shared" si="27"/>
        <v>6</v>
      </c>
      <c r="F247" s="17">
        <f t="shared" si="28"/>
        <v>7</v>
      </c>
      <c r="G247" s="17">
        <f t="shared" si="29"/>
        <v>8</v>
      </c>
      <c r="H247" s="15">
        <f t="shared" si="30"/>
        <v>0.10798193302637613</v>
      </c>
      <c r="I247" s="15">
        <f t="shared" si="31"/>
        <v>0.79788456080286541</v>
      </c>
      <c r="J247" s="15">
        <f t="shared" si="32"/>
        <v>0.10798193302637613</v>
      </c>
      <c r="K247" s="15">
        <f t="shared" si="33"/>
        <v>0.10650697891920077</v>
      </c>
      <c r="L247" s="15">
        <f t="shared" si="34"/>
        <v>0.78698604216159851</v>
      </c>
      <c r="M247" s="15">
        <f t="shared" si="35"/>
        <v>0.10650697891920077</v>
      </c>
    </row>
    <row r="248" spans="1:14" x14ac:dyDescent="0.25">
      <c r="A248" s="2">
        <v>28</v>
      </c>
      <c r="B248" s="2">
        <v>1</v>
      </c>
      <c r="C248" s="2" t="s">
        <v>94</v>
      </c>
      <c r="D248" s="22">
        <v>10</v>
      </c>
      <c r="E248" s="2">
        <f t="shared" si="27"/>
        <v>9</v>
      </c>
      <c r="F248" s="2">
        <f t="shared" si="28"/>
        <v>10</v>
      </c>
      <c r="G248" s="2" t="str">
        <f t="shared" si="29"/>
        <v/>
      </c>
      <c r="H248" s="16">
        <f t="shared" si="30"/>
        <v>0.10798193302637613</v>
      </c>
      <c r="I248" s="16">
        <f t="shared" si="31"/>
        <v>0.79788456080286541</v>
      </c>
      <c r="J248" s="16" t="str">
        <f t="shared" si="32"/>
        <v/>
      </c>
      <c r="K248" s="16">
        <f t="shared" si="33"/>
        <v>0.11920292202211756</v>
      </c>
      <c r="L248" s="16">
        <f t="shared" si="34"/>
        <v>0.88079707797788243</v>
      </c>
      <c r="M248" s="16" t="str">
        <f t="shared" si="35"/>
        <v/>
      </c>
    </row>
    <row r="249" spans="1:14" x14ac:dyDescent="0.25">
      <c r="A249" s="18">
        <v>28</v>
      </c>
      <c r="B249" s="18">
        <v>2</v>
      </c>
      <c r="C249" s="18" t="s">
        <v>94</v>
      </c>
      <c r="D249" s="23">
        <v>2</v>
      </c>
      <c r="E249" s="18">
        <f t="shared" si="27"/>
        <v>1</v>
      </c>
      <c r="F249" s="18">
        <f t="shared" si="28"/>
        <v>2</v>
      </c>
      <c r="G249" s="18">
        <f t="shared" si="29"/>
        <v>3</v>
      </c>
      <c r="H249" s="19">
        <f t="shared" si="30"/>
        <v>0.10798193302637613</v>
      </c>
      <c r="I249" s="19">
        <f t="shared" si="31"/>
        <v>0.79788456080286541</v>
      </c>
      <c r="J249" s="19">
        <f t="shared" si="32"/>
        <v>0.10798193302637613</v>
      </c>
      <c r="K249" s="19">
        <f t="shared" si="33"/>
        <v>0.10650697891920077</v>
      </c>
      <c r="L249" s="19">
        <f t="shared" si="34"/>
        <v>0.78698604216159851</v>
      </c>
      <c r="M249" s="19">
        <f t="shared" si="35"/>
        <v>0.10650697891920077</v>
      </c>
      <c r="N249" s="20" t="s">
        <v>105</v>
      </c>
    </row>
    <row r="250" spans="1:14" x14ac:dyDescent="0.25">
      <c r="A250" s="2">
        <v>28</v>
      </c>
      <c r="B250" s="2">
        <v>3</v>
      </c>
      <c r="C250" s="2" t="s">
        <v>94</v>
      </c>
      <c r="D250" s="22">
        <v>8</v>
      </c>
      <c r="E250" s="2">
        <f t="shared" si="27"/>
        <v>7</v>
      </c>
      <c r="F250" s="2">
        <f t="shared" si="28"/>
        <v>8</v>
      </c>
      <c r="G250" s="2">
        <f t="shared" si="29"/>
        <v>9</v>
      </c>
      <c r="H250" s="16">
        <f t="shared" si="30"/>
        <v>0.10798193302637613</v>
      </c>
      <c r="I250" s="16">
        <f t="shared" si="31"/>
        <v>0.79788456080286541</v>
      </c>
      <c r="J250" s="16">
        <f t="shared" si="32"/>
        <v>0.10798193302637613</v>
      </c>
      <c r="K250" s="16">
        <f t="shared" si="33"/>
        <v>0.10650697891920077</v>
      </c>
      <c r="L250" s="16">
        <f t="shared" si="34"/>
        <v>0.78698604216159851</v>
      </c>
      <c r="M250" s="16">
        <f t="shared" si="35"/>
        <v>0.10650697891920077</v>
      </c>
    </row>
    <row r="251" spans="1:14" x14ac:dyDescent="0.25">
      <c r="A251" s="17">
        <v>28</v>
      </c>
      <c r="B251" s="17">
        <v>1</v>
      </c>
      <c r="C251" s="17" t="s">
        <v>95</v>
      </c>
      <c r="D251" s="21">
        <v>1</v>
      </c>
      <c r="E251" s="17" t="str">
        <f t="shared" si="27"/>
        <v/>
      </c>
      <c r="F251" s="17">
        <f t="shared" si="28"/>
        <v>1</v>
      </c>
      <c r="G251" s="17">
        <f t="shared" si="29"/>
        <v>2</v>
      </c>
      <c r="H251" s="15" t="str">
        <f t="shared" si="30"/>
        <v/>
      </c>
      <c r="I251" s="15">
        <f t="shared" si="31"/>
        <v>0.79788456080286541</v>
      </c>
      <c r="J251" s="15">
        <f t="shared" si="32"/>
        <v>0.10798193302637613</v>
      </c>
      <c r="K251" s="15" t="str">
        <f t="shared" si="33"/>
        <v/>
      </c>
      <c r="L251" s="15">
        <f t="shared" si="34"/>
        <v>0.88079707797788243</v>
      </c>
      <c r="M251" s="15">
        <f t="shared" si="35"/>
        <v>0.11920292202211756</v>
      </c>
    </row>
    <row r="252" spans="1:14" x14ac:dyDescent="0.25">
      <c r="A252" s="17">
        <v>28</v>
      </c>
      <c r="B252" s="17">
        <v>2</v>
      </c>
      <c r="C252" s="17" t="s">
        <v>95</v>
      </c>
      <c r="D252" s="21">
        <v>3</v>
      </c>
      <c r="E252" s="17">
        <f t="shared" si="27"/>
        <v>2</v>
      </c>
      <c r="F252" s="17">
        <f t="shared" si="28"/>
        <v>3</v>
      </c>
      <c r="G252" s="17">
        <f t="shared" si="29"/>
        <v>4</v>
      </c>
      <c r="H252" s="15">
        <f t="shared" si="30"/>
        <v>0.10798193302637613</v>
      </c>
      <c r="I252" s="15">
        <f t="shared" si="31"/>
        <v>0.79788456080286541</v>
      </c>
      <c r="J252" s="15">
        <f t="shared" si="32"/>
        <v>0.10798193302637613</v>
      </c>
      <c r="K252" s="15">
        <f t="shared" si="33"/>
        <v>0.10650697891920077</v>
      </c>
      <c r="L252" s="15">
        <f t="shared" si="34"/>
        <v>0.78698604216159851</v>
      </c>
      <c r="M252" s="15">
        <f t="shared" si="35"/>
        <v>0.10650697891920077</v>
      </c>
    </row>
    <row r="253" spans="1:14" x14ac:dyDescent="0.25">
      <c r="A253" s="17">
        <v>28</v>
      </c>
      <c r="B253" s="17">
        <v>3</v>
      </c>
      <c r="C253" s="17" t="s">
        <v>95</v>
      </c>
      <c r="D253" s="21">
        <v>4</v>
      </c>
      <c r="E253" s="17">
        <f t="shared" si="27"/>
        <v>3</v>
      </c>
      <c r="F253" s="17">
        <f t="shared" si="28"/>
        <v>4</v>
      </c>
      <c r="G253" s="17">
        <f t="shared" si="29"/>
        <v>5</v>
      </c>
      <c r="H253" s="15">
        <f t="shared" si="30"/>
        <v>0.10798193302637613</v>
      </c>
      <c r="I253" s="15">
        <f t="shared" si="31"/>
        <v>0.79788456080286541</v>
      </c>
      <c r="J253" s="15">
        <f t="shared" si="32"/>
        <v>0.10798193302637613</v>
      </c>
      <c r="K253" s="15">
        <f t="shared" si="33"/>
        <v>0.10650697891920077</v>
      </c>
      <c r="L253" s="15">
        <f t="shared" si="34"/>
        <v>0.78698604216159851</v>
      </c>
      <c r="M253" s="15">
        <f t="shared" si="35"/>
        <v>0.10650697891920077</v>
      </c>
    </row>
    <row r="254" spans="1:14" x14ac:dyDescent="0.25">
      <c r="A254" s="2">
        <v>28</v>
      </c>
      <c r="B254" s="2">
        <v>1</v>
      </c>
      <c r="C254" s="2" t="s">
        <v>96</v>
      </c>
      <c r="D254" s="22">
        <v>7</v>
      </c>
      <c r="E254" s="2">
        <f t="shared" si="27"/>
        <v>6</v>
      </c>
      <c r="F254" s="2">
        <f t="shared" si="28"/>
        <v>7</v>
      </c>
      <c r="G254" s="2">
        <f t="shared" si="29"/>
        <v>8</v>
      </c>
      <c r="H254" s="16">
        <f t="shared" si="30"/>
        <v>0.10798193302637613</v>
      </c>
      <c r="I254" s="16">
        <f t="shared" si="31"/>
        <v>0.79788456080286541</v>
      </c>
      <c r="J254" s="16">
        <f t="shared" si="32"/>
        <v>0.10798193302637613</v>
      </c>
      <c r="K254" s="16">
        <f t="shared" si="33"/>
        <v>0.10650697891920077</v>
      </c>
      <c r="L254" s="16">
        <f t="shared" si="34"/>
        <v>0.78698604216159851</v>
      </c>
      <c r="M254" s="16">
        <f t="shared" si="35"/>
        <v>0.10650697891920077</v>
      </c>
    </row>
    <row r="255" spans="1:14" x14ac:dyDescent="0.25">
      <c r="A255" s="2">
        <v>28</v>
      </c>
      <c r="B255" s="2">
        <v>2</v>
      </c>
      <c r="C255" s="2" t="s">
        <v>96</v>
      </c>
      <c r="D255" s="22">
        <v>6</v>
      </c>
      <c r="E255" s="2">
        <f t="shared" si="27"/>
        <v>5</v>
      </c>
      <c r="F255" s="2">
        <f t="shared" si="28"/>
        <v>6</v>
      </c>
      <c r="G255" s="2">
        <f t="shared" si="29"/>
        <v>7</v>
      </c>
      <c r="H255" s="16">
        <f t="shared" si="30"/>
        <v>0.10798193302637613</v>
      </c>
      <c r="I255" s="16">
        <f t="shared" si="31"/>
        <v>0.79788456080286541</v>
      </c>
      <c r="J255" s="16">
        <f t="shared" si="32"/>
        <v>0.10798193302637613</v>
      </c>
      <c r="K255" s="16">
        <f t="shared" si="33"/>
        <v>0.10650697891920077</v>
      </c>
      <c r="L255" s="16">
        <f t="shared" si="34"/>
        <v>0.78698604216159851</v>
      </c>
      <c r="M255" s="16">
        <f t="shared" si="35"/>
        <v>0.10650697891920077</v>
      </c>
    </row>
    <row r="256" spans="1:14" x14ac:dyDescent="0.25">
      <c r="A256" s="2">
        <v>28</v>
      </c>
      <c r="B256" s="2">
        <v>3</v>
      </c>
      <c r="C256" s="2" t="s">
        <v>96</v>
      </c>
      <c r="D256" s="22">
        <v>6</v>
      </c>
      <c r="E256" s="2">
        <f t="shared" si="27"/>
        <v>5</v>
      </c>
      <c r="F256" s="2">
        <f t="shared" si="28"/>
        <v>6</v>
      </c>
      <c r="G256" s="2">
        <f t="shared" si="29"/>
        <v>7</v>
      </c>
      <c r="H256" s="16">
        <f t="shared" si="30"/>
        <v>0.10798193302637613</v>
      </c>
      <c r="I256" s="16">
        <f t="shared" si="31"/>
        <v>0.79788456080286541</v>
      </c>
      <c r="J256" s="16">
        <f t="shared" si="32"/>
        <v>0.10798193302637613</v>
      </c>
      <c r="K256" s="16">
        <f t="shared" si="33"/>
        <v>0.10650697891920077</v>
      </c>
      <c r="L256" s="16">
        <f t="shared" si="34"/>
        <v>0.78698604216159851</v>
      </c>
      <c r="M256" s="16">
        <f t="shared" si="35"/>
        <v>0.10650697891920077</v>
      </c>
    </row>
    <row r="257" spans="1:14" x14ac:dyDescent="0.25">
      <c r="A257" s="17">
        <v>29</v>
      </c>
      <c r="B257" s="17">
        <v>1</v>
      </c>
      <c r="C257" s="17" t="s">
        <v>94</v>
      </c>
      <c r="D257" s="21">
        <v>10</v>
      </c>
      <c r="E257" s="17">
        <f t="shared" si="27"/>
        <v>9</v>
      </c>
      <c r="F257" s="17">
        <f t="shared" si="28"/>
        <v>10</v>
      </c>
      <c r="G257" s="17" t="str">
        <f t="shared" si="29"/>
        <v/>
      </c>
      <c r="H257" s="15">
        <f t="shared" si="30"/>
        <v>0.10798193302637613</v>
      </c>
      <c r="I257" s="15">
        <f t="shared" si="31"/>
        <v>0.79788456080286541</v>
      </c>
      <c r="J257" s="15" t="str">
        <f t="shared" si="32"/>
        <v/>
      </c>
      <c r="K257" s="15">
        <f t="shared" si="33"/>
        <v>0.11920292202211756</v>
      </c>
      <c r="L257" s="15">
        <f t="shared" si="34"/>
        <v>0.88079707797788243</v>
      </c>
      <c r="M257" s="15" t="str">
        <f t="shared" si="35"/>
        <v/>
      </c>
    </row>
    <row r="258" spans="1:14" x14ac:dyDescent="0.25">
      <c r="A258" s="18">
        <v>29</v>
      </c>
      <c r="B258" s="18">
        <v>2</v>
      </c>
      <c r="C258" s="18" t="s">
        <v>94</v>
      </c>
      <c r="D258" s="23">
        <v>6</v>
      </c>
      <c r="E258" s="18">
        <f t="shared" si="27"/>
        <v>5</v>
      </c>
      <c r="F258" s="18">
        <f t="shared" si="28"/>
        <v>6</v>
      </c>
      <c r="G258" s="18">
        <f t="shared" si="29"/>
        <v>7</v>
      </c>
      <c r="H258" s="19">
        <f t="shared" si="30"/>
        <v>0.10798193302637613</v>
      </c>
      <c r="I258" s="19">
        <f t="shared" si="31"/>
        <v>0.79788456080286541</v>
      </c>
      <c r="J258" s="19">
        <f t="shared" si="32"/>
        <v>0.10798193302637613</v>
      </c>
      <c r="K258" s="19">
        <f t="shared" si="33"/>
        <v>0.10650697891920077</v>
      </c>
      <c r="L258" s="19">
        <f t="shared" si="34"/>
        <v>0.78698604216159851</v>
      </c>
      <c r="M258" s="19">
        <f t="shared" si="35"/>
        <v>0.10650697891920077</v>
      </c>
      <c r="N258" s="20" t="s">
        <v>105</v>
      </c>
    </row>
    <row r="259" spans="1:14" x14ac:dyDescent="0.25">
      <c r="A259" s="17">
        <v>29</v>
      </c>
      <c r="B259" s="17">
        <v>3</v>
      </c>
      <c r="C259" s="17" t="s">
        <v>94</v>
      </c>
      <c r="D259" s="21">
        <v>9</v>
      </c>
      <c r="E259" s="17">
        <f t="shared" si="27"/>
        <v>8</v>
      </c>
      <c r="F259" s="17">
        <f t="shared" si="28"/>
        <v>9</v>
      </c>
      <c r="G259" s="17">
        <f t="shared" si="29"/>
        <v>10</v>
      </c>
      <c r="H259" s="15">
        <f t="shared" si="30"/>
        <v>0.10798193302637613</v>
      </c>
      <c r="I259" s="15">
        <f t="shared" si="31"/>
        <v>0.79788456080286541</v>
      </c>
      <c r="J259" s="15">
        <f t="shared" si="32"/>
        <v>0.10798193302637613</v>
      </c>
      <c r="K259" s="15">
        <f t="shared" si="33"/>
        <v>0.10650697891920077</v>
      </c>
      <c r="L259" s="15">
        <f t="shared" si="34"/>
        <v>0.78698604216159851</v>
      </c>
      <c r="M259" s="15">
        <f t="shared" si="35"/>
        <v>0.10650697891920077</v>
      </c>
    </row>
    <row r="260" spans="1:14" x14ac:dyDescent="0.25">
      <c r="A260" s="2">
        <v>29</v>
      </c>
      <c r="B260" s="2">
        <v>1</v>
      </c>
      <c r="C260" s="2" t="s">
        <v>95</v>
      </c>
      <c r="D260" s="22">
        <v>1</v>
      </c>
      <c r="E260" s="2" t="str">
        <f t="shared" si="27"/>
        <v/>
      </c>
      <c r="F260" s="2">
        <f t="shared" si="28"/>
        <v>1</v>
      </c>
      <c r="G260" s="2">
        <f t="shared" si="29"/>
        <v>2</v>
      </c>
      <c r="H260" s="16" t="str">
        <f t="shared" si="30"/>
        <v/>
      </c>
      <c r="I260" s="16">
        <f t="shared" si="31"/>
        <v>0.79788456080286541</v>
      </c>
      <c r="J260" s="16">
        <f t="shared" si="32"/>
        <v>0.10798193302637613</v>
      </c>
      <c r="K260" s="16" t="str">
        <f t="shared" si="33"/>
        <v/>
      </c>
      <c r="L260" s="16">
        <f t="shared" si="34"/>
        <v>0.88079707797788243</v>
      </c>
      <c r="M260" s="16">
        <f t="shared" si="35"/>
        <v>0.11920292202211756</v>
      </c>
    </row>
    <row r="261" spans="1:14" x14ac:dyDescent="0.25">
      <c r="A261" s="2">
        <v>29</v>
      </c>
      <c r="B261" s="2">
        <v>2</v>
      </c>
      <c r="C261" s="2" t="s">
        <v>95</v>
      </c>
      <c r="D261" s="22">
        <v>2</v>
      </c>
      <c r="E261" s="2">
        <f t="shared" si="27"/>
        <v>1</v>
      </c>
      <c r="F261" s="2">
        <f t="shared" si="28"/>
        <v>2</v>
      </c>
      <c r="G261" s="2">
        <f t="shared" si="29"/>
        <v>3</v>
      </c>
      <c r="H261" s="16">
        <f t="shared" si="30"/>
        <v>0.10798193302637613</v>
      </c>
      <c r="I261" s="16">
        <f t="shared" si="31"/>
        <v>0.79788456080286541</v>
      </c>
      <c r="J261" s="16">
        <f t="shared" si="32"/>
        <v>0.10798193302637613</v>
      </c>
      <c r="K261" s="16">
        <f t="shared" si="33"/>
        <v>0.10650697891920077</v>
      </c>
      <c r="L261" s="16">
        <f t="shared" si="34"/>
        <v>0.78698604216159851</v>
      </c>
      <c r="M261" s="16">
        <f t="shared" si="35"/>
        <v>0.10650697891920077</v>
      </c>
    </row>
    <row r="262" spans="1:14" x14ac:dyDescent="0.25">
      <c r="A262" s="18">
        <v>29</v>
      </c>
      <c r="B262" s="18">
        <v>3</v>
      </c>
      <c r="C262" s="18" t="s">
        <v>95</v>
      </c>
      <c r="D262" s="23">
        <v>5</v>
      </c>
      <c r="E262" s="18">
        <f t="shared" ref="E262:E325" si="36">IF(F262-1=0,"",F262-1)</f>
        <v>4</v>
      </c>
      <c r="F262" s="18">
        <f t="shared" ref="F262:F325" si="37">D262</f>
        <v>5</v>
      </c>
      <c r="G262" s="18">
        <f t="shared" ref="G262:G325" si="38">IF(F262+1=11,"",F262+1)</f>
        <v>6</v>
      </c>
      <c r="H262" s="19">
        <f t="shared" ref="H262:H325" si="39">IF(E262&lt;&gt;"",(1/(0.5*SQRT(2*PI()))) * EXP(-((E262 - $D262)^2)/(2*0.5^2)),"")</f>
        <v>0.10798193302637613</v>
      </c>
      <c r="I262" s="19">
        <f t="shared" ref="I262:I325" si="40">(1/(0.5*SQRT(2*PI()))) * EXP(-((F262 - $D262)^2)/(2*0.5^2))</f>
        <v>0.79788456080286541</v>
      </c>
      <c r="J262" s="19">
        <f t="shared" ref="J262:J325" si="41">IF(G262&lt;&gt;"",(1/(0.5*SQRT(2*PI()))) * EXP(-((G262 - $D262)^2)/(2*0.5^2)),"")</f>
        <v>0.10798193302637613</v>
      </c>
      <c r="K262" s="19">
        <f t="shared" ref="K262:K325" si="42">IF(H262&lt;&gt;"",H262/(SUM(H262:J262)),"")</f>
        <v>0.10650697891920077</v>
      </c>
      <c r="L262" s="19">
        <f t="shared" ref="L262:L325" si="43">I262/SUM(H262:J262)</f>
        <v>0.78698604216159851</v>
      </c>
      <c r="M262" s="19">
        <f t="shared" ref="M262:M325" si="44">IF(J262&lt;&gt;"",J262/SUM(H262:J262),"")</f>
        <v>0.10650697891920077</v>
      </c>
      <c r="N262" s="20" t="s">
        <v>105</v>
      </c>
    </row>
    <row r="263" spans="1:14" x14ac:dyDescent="0.25">
      <c r="A263" s="17">
        <v>29</v>
      </c>
      <c r="B263" s="17">
        <v>1</v>
      </c>
      <c r="C263" s="17" t="s">
        <v>96</v>
      </c>
      <c r="D263" s="21">
        <v>7</v>
      </c>
      <c r="E263" s="17">
        <f t="shared" si="36"/>
        <v>6</v>
      </c>
      <c r="F263" s="17">
        <f t="shared" si="37"/>
        <v>7</v>
      </c>
      <c r="G263" s="17">
        <f t="shared" si="38"/>
        <v>8</v>
      </c>
      <c r="H263" s="15">
        <f t="shared" si="39"/>
        <v>0.10798193302637613</v>
      </c>
      <c r="I263" s="15">
        <f t="shared" si="40"/>
        <v>0.79788456080286541</v>
      </c>
      <c r="J263" s="15">
        <f t="shared" si="41"/>
        <v>0.10798193302637613</v>
      </c>
      <c r="K263" s="15">
        <f t="shared" si="42"/>
        <v>0.10650697891920077</v>
      </c>
      <c r="L263" s="15">
        <f t="shared" si="43"/>
        <v>0.78698604216159851</v>
      </c>
      <c r="M263" s="15">
        <f t="shared" si="44"/>
        <v>0.10650697891920077</v>
      </c>
    </row>
    <row r="264" spans="1:14" x14ac:dyDescent="0.25">
      <c r="A264" s="17">
        <v>29</v>
      </c>
      <c r="B264" s="17">
        <v>2</v>
      </c>
      <c r="C264" s="17" t="s">
        <v>96</v>
      </c>
      <c r="D264" s="21">
        <v>6</v>
      </c>
      <c r="E264" s="17">
        <f t="shared" si="36"/>
        <v>5</v>
      </c>
      <c r="F264" s="17">
        <f t="shared" si="37"/>
        <v>6</v>
      </c>
      <c r="G264" s="17">
        <f t="shared" si="38"/>
        <v>7</v>
      </c>
      <c r="H264" s="15">
        <f t="shared" si="39"/>
        <v>0.10798193302637613</v>
      </c>
      <c r="I264" s="15">
        <f t="shared" si="40"/>
        <v>0.79788456080286541</v>
      </c>
      <c r="J264" s="15">
        <f t="shared" si="41"/>
        <v>0.10798193302637613</v>
      </c>
      <c r="K264" s="15">
        <f t="shared" si="42"/>
        <v>0.10650697891920077</v>
      </c>
      <c r="L264" s="15">
        <f t="shared" si="43"/>
        <v>0.78698604216159851</v>
      </c>
      <c r="M264" s="15">
        <f t="shared" si="44"/>
        <v>0.10650697891920077</v>
      </c>
    </row>
    <row r="265" spans="1:14" x14ac:dyDescent="0.25">
      <c r="A265" s="17">
        <v>29</v>
      </c>
      <c r="B265" s="17">
        <v>3</v>
      </c>
      <c r="C265" s="17" t="s">
        <v>96</v>
      </c>
      <c r="D265" s="21">
        <v>8</v>
      </c>
      <c r="E265" s="17">
        <f t="shared" si="36"/>
        <v>7</v>
      </c>
      <c r="F265" s="17">
        <f t="shared" si="37"/>
        <v>8</v>
      </c>
      <c r="G265" s="17">
        <f t="shared" si="38"/>
        <v>9</v>
      </c>
      <c r="H265" s="15">
        <f t="shared" si="39"/>
        <v>0.10798193302637613</v>
      </c>
      <c r="I265" s="15">
        <f t="shared" si="40"/>
        <v>0.79788456080286541</v>
      </c>
      <c r="J265" s="15">
        <f t="shared" si="41"/>
        <v>0.10798193302637613</v>
      </c>
      <c r="K265" s="15">
        <f t="shared" si="42"/>
        <v>0.10650697891920077</v>
      </c>
      <c r="L265" s="15">
        <f t="shared" si="43"/>
        <v>0.78698604216159851</v>
      </c>
      <c r="M265" s="15">
        <f t="shared" si="44"/>
        <v>0.10650697891920077</v>
      </c>
    </row>
    <row r="266" spans="1:14" x14ac:dyDescent="0.25">
      <c r="A266" s="2">
        <v>30</v>
      </c>
      <c r="B266" s="2">
        <v>1</v>
      </c>
      <c r="C266" s="2" t="s">
        <v>94</v>
      </c>
      <c r="D266" s="22">
        <v>10</v>
      </c>
      <c r="E266" s="2">
        <f t="shared" si="36"/>
        <v>9</v>
      </c>
      <c r="F266" s="2">
        <f t="shared" si="37"/>
        <v>10</v>
      </c>
      <c r="G266" s="2" t="str">
        <f t="shared" si="38"/>
        <v/>
      </c>
      <c r="H266" s="16">
        <f t="shared" si="39"/>
        <v>0.10798193302637613</v>
      </c>
      <c r="I266" s="16">
        <f t="shared" si="40"/>
        <v>0.79788456080286541</v>
      </c>
      <c r="J266" s="16" t="str">
        <f t="shared" si="41"/>
        <v/>
      </c>
      <c r="K266" s="16">
        <f t="shared" si="42"/>
        <v>0.11920292202211756</v>
      </c>
      <c r="L266" s="16">
        <f t="shared" si="43"/>
        <v>0.88079707797788243</v>
      </c>
      <c r="M266" s="16" t="str">
        <f t="shared" si="44"/>
        <v/>
      </c>
    </row>
    <row r="267" spans="1:14" x14ac:dyDescent="0.25">
      <c r="A267" s="2">
        <v>30</v>
      </c>
      <c r="B267" s="2">
        <v>2</v>
      </c>
      <c r="C267" s="2" t="s">
        <v>94</v>
      </c>
      <c r="D267" s="22">
        <v>8</v>
      </c>
      <c r="E267" s="2">
        <f t="shared" si="36"/>
        <v>7</v>
      </c>
      <c r="F267" s="2">
        <f t="shared" si="37"/>
        <v>8</v>
      </c>
      <c r="G267" s="2">
        <f t="shared" si="38"/>
        <v>9</v>
      </c>
      <c r="H267" s="16">
        <f t="shared" si="39"/>
        <v>0.10798193302637613</v>
      </c>
      <c r="I267" s="16">
        <f t="shared" si="40"/>
        <v>0.79788456080286541</v>
      </c>
      <c r="J267" s="16">
        <f t="shared" si="41"/>
        <v>0.10798193302637613</v>
      </c>
      <c r="K267" s="16">
        <f t="shared" si="42"/>
        <v>0.10650697891920077</v>
      </c>
      <c r="L267" s="16">
        <f t="shared" si="43"/>
        <v>0.78698604216159851</v>
      </c>
      <c r="M267" s="16">
        <f t="shared" si="44"/>
        <v>0.10650697891920077</v>
      </c>
    </row>
    <row r="268" spans="1:14" x14ac:dyDescent="0.25">
      <c r="A268" s="2">
        <v>30</v>
      </c>
      <c r="B268" s="2">
        <v>3</v>
      </c>
      <c r="C268" s="2" t="s">
        <v>94</v>
      </c>
      <c r="D268" s="22">
        <v>6</v>
      </c>
      <c r="E268" s="2">
        <f t="shared" si="36"/>
        <v>5</v>
      </c>
      <c r="F268" s="2">
        <f t="shared" si="37"/>
        <v>6</v>
      </c>
      <c r="G268" s="2">
        <f t="shared" si="38"/>
        <v>7</v>
      </c>
      <c r="H268" s="16">
        <f t="shared" si="39"/>
        <v>0.10798193302637613</v>
      </c>
      <c r="I268" s="16">
        <f t="shared" si="40"/>
        <v>0.79788456080286541</v>
      </c>
      <c r="J268" s="16">
        <f t="shared" si="41"/>
        <v>0.10798193302637613</v>
      </c>
      <c r="K268" s="16">
        <f t="shared" si="42"/>
        <v>0.10650697891920077</v>
      </c>
      <c r="L268" s="16">
        <f t="shared" si="43"/>
        <v>0.78698604216159851</v>
      </c>
      <c r="M268" s="16">
        <f t="shared" si="44"/>
        <v>0.10650697891920077</v>
      </c>
    </row>
    <row r="269" spans="1:14" x14ac:dyDescent="0.25">
      <c r="A269" s="18">
        <v>30</v>
      </c>
      <c r="B269" s="18">
        <v>1</v>
      </c>
      <c r="C269" s="18" t="s">
        <v>95</v>
      </c>
      <c r="D269" s="23">
        <v>10</v>
      </c>
      <c r="E269" s="18">
        <f t="shared" si="36"/>
        <v>9</v>
      </c>
      <c r="F269" s="18">
        <f t="shared" si="37"/>
        <v>10</v>
      </c>
      <c r="G269" s="18" t="str">
        <f t="shared" si="38"/>
        <v/>
      </c>
      <c r="H269" s="19">
        <f t="shared" si="39"/>
        <v>0.10798193302637613</v>
      </c>
      <c r="I269" s="19">
        <f t="shared" si="40"/>
        <v>0.79788456080286541</v>
      </c>
      <c r="J269" s="19" t="str">
        <f t="shared" si="41"/>
        <v/>
      </c>
      <c r="K269" s="19">
        <f t="shared" si="42"/>
        <v>0.11920292202211756</v>
      </c>
      <c r="L269" s="19">
        <f t="shared" si="43"/>
        <v>0.88079707797788243</v>
      </c>
      <c r="M269" s="19" t="str">
        <f t="shared" si="44"/>
        <v/>
      </c>
      <c r="N269" s="20" t="s">
        <v>105</v>
      </c>
    </row>
    <row r="270" spans="1:14" x14ac:dyDescent="0.25">
      <c r="A270" s="17">
        <v>30</v>
      </c>
      <c r="B270" s="17">
        <v>2</v>
      </c>
      <c r="C270" s="17" t="s">
        <v>95</v>
      </c>
      <c r="D270" s="21">
        <v>7</v>
      </c>
      <c r="E270" s="17">
        <f t="shared" si="36"/>
        <v>6</v>
      </c>
      <c r="F270" s="17">
        <f t="shared" si="37"/>
        <v>7</v>
      </c>
      <c r="G270" s="17">
        <f t="shared" si="38"/>
        <v>8</v>
      </c>
      <c r="H270" s="15">
        <f t="shared" si="39"/>
        <v>0.10798193302637613</v>
      </c>
      <c r="I270" s="15">
        <f t="shared" si="40"/>
        <v>0.79788456080286541</v>
      </c>
      <c r="J270" s="15">
        <f t="shared" si="41"/>
        <v>0.10798193302637613</v>
      </c>
      <c r="K270" s="15">
        <f t="shared" si="42"/>
        <v>0.10650697891920077</v>
      </c>
      <c r="L270" s="15">
        <f t="shared" si="43"/>
        <v>0.78698604216159851</v>
      </c>
      <c r="M270" s="15">
        <f t="shared" si="44"/>
        <v>0.10650697891920077</v>
      </c>
    </row>
    <row r="271" spans="1:14" x14ac:dyDescent="0.25">
      <c r="A271" s="17">
        <v>30</v>
      </c>
      <c r="B271" s="17">
        <v>3</v>
      </c>
      <c r="C271" s="17" t="s">
        <v>95</v>
      </c>
      <c r="D271" s="21">
        <v>7</v>
      </c>
      <c r="E271" s="17">
        <f t="shared" si="36"/>
        <v>6</v>
      </c>
      <c r="F271" s="17">
        <f t="shared" si="37"/>
        <v>7</v>
      </c>
      <c r="G271" s="17">
        <f t="shared" si="38"/>
        <v>8</v>
      </c>
      <c r="H271" s="15">
        <f t="shared" si="39"/>
        <v>0.10798193302637613</v>
      </c>
      <c r="I271" s="15">
        <f t="shared" si="40"/>
        <v>0.79788456080286541</v>
      </c>
      <c r="J271" s="15">
        <f t="shared" si="41"/>
        <v>0.10798193302637613</v>
      </c>
      <c r="K271" s="15">
        <f t="shared" si="42"/>
        <v>0.10650697891920077</v>
      </c>
      <c r="L271" s="15">
        <f t="shared" si="43"/>
        <v>0.78698604216159851</v>
      </c>
      <c r="M271" s="15">
        <f t="shared" si="44"/>
        <v>0.10650697891920077</v>
      </c>
    </row>
    <row r="272" spans="1:14" x14ac:dyDescent="0.25">
      <c r="A272" s="2">
        <v>30</v>
      </c>
      <c r="B272" s="2">
        <v>1</v>
      </c>
      <c r="C272" s="2" t="s">
        <v>96</v>
      </c>
      <c r="D272" s="22">
        <v>8</v>
      </c>
      <c r="E272" s="2">
        <f t="shared" si="36"/>
        <v>7</v>
      </c>
      <c r="F272" s="2">
        <f t="shared" si="37"/>
        <v>8</v>
      </c>
      <c r="G272" s="2">
        <f t="shared" si="38"/>
        <v>9</v>
      </c>
      <c r="H272" s="16">
        <f t="shared" si="39"/>
        <v>0.10798193302637613</v>
      </c>
      <c r="I272" s="16">
        <f t="shared" si="40"/>
        <v>0.79788456080286541</v>
      </c>
      <c r="J272" s="16">
        <f t="shared" si="41"/>
        <v>0.10798193302637613</v>
      </c>
      <c r="K272" s="16">
        <f t="shared" si="42"/>
        <v>0.10650697891920077</v>
      </c>
      <c r="L272" s="16">
        <f t="shared" si="43"/>
        <v>0.78698604216159851</v>
      </c>
      <c r="M272" s="16">
        <f t="shared" si="44"/>
        <v>0.10650697891920077</v>
      </c>
    </row>
    <row r="273" spans="1:14" x14ac:dyDescent="0.25">
      <c r="A273" s="2">
        <v>30</v>
      </c>
      <c r="B273" s="2">
        <v>2</v>
      </c>
      <c r="C273" s="2" t="s">
        <v>96</v>
      </c>
      <c r="D273" s="22">
        <v>9</v>
      </c>
      <c r="E273" s="2">
        <f t="shared" si="36"/>
        <v>8</v>
      </c>
      <c r="F273" s="2">
        <f t="shared" si="37"/>
        <v>9</v>
      </c>
      <c r="G273" s="2">
        <f t="shared" si="38"/>
        <v>10</v>
      </c>
      <c r="H273" s="16">
        <f t="shared" si="39"/>
        <v>0.10798193302637613</v>
      </c>
      <c r="I273" s="16">
        <f t="shared" si="40"/>
        <v>0.79788456080286541</v>
      </c>
      <c r="J273" s="16">
        <f t="shared" si="41"/>
        <v>0.10798193302637613</v>
      </c>
      <c r="K273" s="16">
        <f t="shared" si="42"/>
        <v>0.10650697891920077</v>
      </c>
      <c r="L273" s="16">
        <f t="shared" si="43"/>
        <v>0.78698604216159851</v>
      </c>
      <c r="M273" s="16">
        <f t="shared" si="44"/>
        <v>0.10650697891920077</v>
      </c>
    </row>
    <row r="274" spans="1:14" x14ac:dyDescent="0.25">
      <c r="A274" s="2">
        <v>30</v>
      </c>
      <c r="B274" s="2">
        <v>3</v>
      </c>
      <c r="C274" s="2" t="s">
        <v>96</v>
      </c>
      <c r="D274" s="22">
        <v>9</v>
      </c>
      <c r="E274" s="2">
        <f t="shared" si="36"/>
        <v>8</v>
      </c>
      <c r="F274" s="2">
        <f t="shared" si="37"/>
        <v>9</v>
      </c>
      <c r="G274" s="2">
        <f t="shared" si="38"/>
        <v>10</v>
      </c>
      <c r="H274" s="16">
        <f t="shared" si="39"/>
        <v>0.10798193302637613</v>
      </c>
      <c r="I274" s="16">
        <f t="shared" si="40"/>
        <v>0.79788456080286541</v>
      </c>
      <c r="J274" s="16">
        <f t="shared" si="41"/>
        <v>0.10798193302637613</v>
      </c>
      <c r="K274" s="16">
        <f t="shared" si="42"/>
        <v>0.10650697891920077</v>
      </c>
      <c r="L274" s="16">
        <f t="shared" si="43"/>
        <v>0.78698604216159851</v>
      </c>
      <c r="M274" s="16">
        <f t="shared" si="44"/>
        <v>0.10650697891920077</v>
      </c>
    </row>
    <row r="275" spans="1:14" x14ac:dyDescent="0.25">
      <c r="A275" s="18">
        <v>31</v>
      </c>
      <c r="B275" s="18">
        <v>1</v>
      </c>
      <c r="C275" s="18" t="s">
        <v>94</v>
      </c>
      <c r="D275" s="23">
        <v>10</v>
      </c>
      <c r="E275" s="18">
        <f t="shared" si="36"/>
        <v>9</v>
      </c>
      <c r="F275" s="18">
        <f t="shared" si="37"/>
        <v>10</v>
      </c>
      <c r="G275" s="18" t="str">
        <f t="shared" si="38"/>
        <v/>
      </c>
      <c r="H275" s="19">
        <f t="shared" si="39"/>
        <v>0.10798193302637613</v>
      </c>
      <c r="I275" s="19">
        <f t="shared" si="40"/>
        <v>0.79788456080286541</v>
      </c>
      <c r="J275" s="19" t="str">
        <f t="shared" si="41"/>
        <v/>
      </c>
      <c r="K275" s="19">
        <f t="shared" si="42"/>
        <v>0.11920292202211756</v>
      </c>
      <c r="L275" s="19">
        <f t="shared" si="43"/>
        <v>0.88079707797788243</v>
      </c>
      <c r="M275" s="19" t="str">
        <f t="shared" si="44"/>
        <v/>
      </c>
      <c r="N275" s="20" t="s">
        <v>105</v>
      </c>
    </row>
    <row r="276" spans="1:14" x14ac:dyDescent="0.25">
      <c r="A276" s="17">
        <v>31</v>
      </c>
      <c r="B276" s="17">
        <v>2</v>
      </c>
      <c r="C276" s="17" t="s">
        <v>94</v>
      </c>
      <c r="D276" s="21">
        <v>5</v>
      </c>
      <c r="E276" s="17">
        <f t="shared" si="36"/>
        <v>4</v>
      </c>
      <c r="F276" s="17">
        <f t="shared" si="37"/>
        <v>5</v>
      </c>
      <c r="G276" s="17">
        <f t="shared" si="38"/>
        <v>6</v>
      </c>
      <c r="H276" s="15">
        <f t="shared" si="39"/>
        <v>0.10798193302637613</v>
      </c>
      <c r="I276" s="15">
        <f t="shared" si="40"/>
        <v>0.79788456080286541</v>
      </c>
      <c r="J276" s="15">
        <f t="shared" si="41"/>
        <v>0.10798193302637613</v>
      </c>
      <c r="K276" s="15">
        <f t="shared" si="42"/>
        <v>0.10650697891920077</v>
      </c>
      <c r="L276" s="15">
        <f t="shared" si="43"/>
        <v>0.78698604216159851</v>
      </c>
      <c r="M276" s="15">
        <f t="shared" si="44"/>
        <v>0.10650697891920077</v>
      </c>
    </row>
    <row r="277" spans="1:14" x14ac:dyDescent="0.25">
      <c r="A277" s="17">
        <v>31</v>
      </c>
      <c r="B277" s="17">
        <v>3</v>
      </c>
      <c r="C277" s="17" t="s">
        <v>94</v>
      </c>
      <c r="D277" s="21">
        <v>6</v>
      </c>
      <c r="E277" s="17">
        <f t="shared" si="36"/>
        <v>5</v>
      </c>
      <c r="F277" s="17">
        <f t="shared" si="37"/>
        <v>6</v>
      </c>
      <c r="G277" s="17">
        <f t="shared" si="38"/>
        <v>7</v>
      </c>
      <c r="H277" s="15">
        <f t="shared" si="39"/>
        <v>0.10798193302637613</v>
      </c>
      <c r="I277" s="15">
        <f t="shared" si="40"/>
        <v>0.79788456080286541</v>
      </c>
      <c r="J277" s="15">
        <f t="shared" si="41"/>
        <v>0.10798193302637613</v>
      </c>
      <c r="K277" s="15">
        <f t="shared" si="42"/>
        <v>0.10650697891920077</v>
      </c>
      <c r="L277" s="15">
        <f t="shared" si="43"/>
        <v>0.78698604216159851</v>
      </c>
      <c r="M277" s="15">
        <f t="shared" si="44"/>
        <v>0.10650697891920077</v>
      </c>
    </row>
    <row r="278" spans="1:14" x14ac:dyDescent="0.25">
      <c r="A278" s="2">
        <v>31</v>
      </c>
      <c r="B278" s="2">
        <v>1</v>
      </c>
      <c r="C278" s="2" t="s">
        <v>95</v>
      </c>
      <c r="D278" s="22">
        <v>6</v>
      </c>
      <c r="E278" s="2">
        <f t="shared" si="36"/>
        <v>5</v>
      </c>
      <c r="F278" s="2">
        <f t="shared" si="37"/>
        <v>6</v>
      </c>
      <c r="G278" s="2">
        <f t="shared" si="38"/>
        <v>7</v>
      </c>
      <c r="H278" s="16">
        <f t="shared" si="39"/>
        <v>0.10798193302637613</v>
      </c>
      <c r="I278" s="16">
        <f t="shared" si="40"/>
        <v>0.79788456080286541</v>
      </c>
      <c r="J278" s="16">
        <f t="shared" si="41"/>
        <v>0.10798193302637613</v>
      </c>
      <c r="K278" s="16">
        <f t="shared" si="42"/>
        <v>0.10650697891920077</v>
      </c>
      <c r="L278" s="16">
        <f t="shared" si="43"/>
        <v>0.78698604216159851</v>
      </c>
      <c r="M278" s="16">
        <f t="shared" si="44"/>
        <v>0.10650697891920077</v>
      </c>
    </row>
    <row r="279" spans="1:14" x14ac:dyDescent="0.25">
      <c r="A279" s="18">
        <v>31</v>
      </c>
      <c r="B279" s="18">
        <v>2</v>
      </c>
      <c r="C279" s="18" t="s">
        <v>95</v>
      </c>
      <c r="D279" s="23">
        <v>3</v>
      </c>
      <c r="E279" s="18">
        <f t="shared" si="36"/>
        <v>2</v>
      </c>
      <c r="F279" s="18">
        <f t="shared" si="37"/>
        <v>3</v>
      </c>
      <c r="G279" s="18">
        <f t="shared" si="38"/>
        <v>4</v>
      </c>
      <c r="H279" s="19">
        <f t="shared" si="39"/>
        <v>0.10798193302637613</v>
      </c>
      <c r="I279" s="19">
        <f t="shared" si="40"/>
        <v>0.79788456080286541</v>
      </c>
      <c r="J279" s="19">
        <f t="shared" si="41"/>
        <v>0.10798193302637613</v>
      </c>
      <c r="K279" s="19">
        <f t="shared" si="42"/>
        <v>0.10650697891920077</v>
      </c>
      <c r="L279" s="19">
        <f t="shared" si="43"/>
        <v>0.78698604216159851</v>
      </c>
      <c r="M279" s="19">
        <f t="shared" si="44"/>
        <v>0.10650697891920077</v>
      </c>
      <c r="N279" s="20" t="s">
        <v>105</v>
      </c>
    </row>
    <row r="280" spans="1:14" x14ac:dyDescent="0.25">
      <c r="A280" s="2">
        <v>31</v>
      </c>
      <c r="B280" s="2">
        <v>3</v>
      </c>
      <c r="C280" s="2" t="s">
        <v>95</v>
      </c>
      <c r="D280" s="22">
        <v>6</v>
      </c>
      <c r="E280" s="2">
        <f t="shared" si="36"/>
        <v>5</v>
      </c>
      <c r="F280" s="2">
        <f t="shared" si="37"/>
        <v>6</v>
      </c>
      <c r="G280" s="2">
        <f t="shared" si="38"/>
        <v>7</v>
      </c>
      <c r="H280" s="16">
        <f t="shared" si="39"/>
        <v>0.10798193302637613</v>
      </c>
      <c r="I280" s="16">
        <f t="shared" si="40"/>
        <v>0.79788456080286541</v>
      </c>
      <c r="J280" s="16">
        <f t="shared" si="41"/>
        <v>0.10798193302637613</v>
      </c>
      <c r="K280" s="16">
        <f t="shared" si="42"/>
        <v>0.10650697891920077</v>
      </c>
      <c r="L280" s="16">
        <f t="shared" si="43"/>
        <v>0.78698604216159851</v>
      </c>
      <c r="M280" s="16">
        <f t="shared" si="44"/>
        <v>0.10650697891920077</v>
      </c>
    </row>
    <row r="281" spans="1:14" x14ac:dyDescent="0.25">
      <c r="A281" s="17">
        <v>31</v>
      </c>
      <c r="B281" s="17">
        <v>1</v>
      </c>
      <c r="C281" s="17" t="s">
        <v>96</v>
      </c>
      <c r="D281" s="21">
        <v>10</v>
      </c>
      <c r="E281" s="17">
        <f t="shared" si="36"/>
        <v>9</v>
      </c>
      <c r="F281" s="17">
        <f t="shared" si="37"/>
        <v>10</v>
      </c>
      <c r="G281" s="17" t="str">
        <f t="shared" si="38"/>
        <v/>
      </c>
      <c r="H281" s="15">
        <f t="shared" si="39"/>
        <v>0.10798193302637613</v>
      </c>
      <c r="I281" s="15">
        <f t="shared" si="40"/>
        <v>0.79788456080286541</v>
      </c>
      <c r="J281" s="15" t="str">
        <f t="shared" si="41"/>
        <v/>
      </c>
      <c r="K281" s="15">
        <f t="shared" si="42"/>
        <v>0.11920292202211756</v>
      </c>
      <c r="L281" s="15">
        <f t="shared" si="43"/>
        <v>0.88079707797788243</v>
      </c>
      <c r="M281" s="15" t="str">
        <f t="shared" si="44"/>
        <v/>
      </c>
    </row>
    <row r="282" spans="1:14" x14ac:dyDescent="0.25">
      <c r="A282" s="17">
        <v>31</v>
      </c>
      <c r="B282" s="17">
        <v>2</v>
      </c>
      <c r="C282" s="17" t="s">
        <v>96</v>
      </c>
      <c r="D282" s="21">
        <v>6</v>
      </c>
      <c r="E282" s="17">
        <f t="shared" si="36"/>
        <v>5</v>
      </c>
      <c r="F282" s="17">
        <f t="shared" si="37"/>
        <v>6</v>
      </c>
      <c r="G282" s="17">
        <f t="shared" si="38"/>
        <v>7</v>
      </c>
      <c r="H282" s="15">
        <f t="shared" si="39"/>
        <v>0.10798193302637613</v>
      </c>
      <c r="I282" s="15">
        <f t="shared" si="40"/>
        <v>0.79788456080286541</v>
      </c>
      <c r="J282" s="15">
        <f t="shared" si="41"/>
        <v>0.10798193302637613</v>
      </c>
      <c r="K282" s="15">
        <f t="shared" si="42"/>
        <v>0.10650697891920077</v>
      </c>
      <c r="L282" s="15">
        <f t="shared" si="43"/>
        <v>0.78698604216159851</v>
      </c>
      <c r="M282" s="15">
        <f t="shared" si="44"/>
        <v>0.10650697891920077</v>
      </c>
    </row>
    <row r="283" spans="1:14" x14ac:dyDescent="0.25">
      <c r="A283" s="17">
        <v>31</v>
      </c>
      <c r="B283" s="17">
        <v>3</v>
      </c>
      <c r="C283" s="17" t="s">
        <v>96</v>
      </c>
      <c r="D283" s="21">
        <v>8</v>
      </c>
      <c r="E283" s="17">
        <f t="shared" si="36"/>
        <v>7</v>
      </c>
      <c r="F283" s="17">
        <f t="shared" si="37"/>
        <v>8</v>
      </c>
      <c r="G283" s="17">
        <f t="shared" si="38"/>
        <v>9</v>
      </c>
      <c r="H283" s="15">
        <f t="shared" si="39"/>
        <v>0.10798193302637613</v>
      </c>
      <c r="I283" s="15">
        <f t="shared" si="40"/>
        <v>0.79788456080286541</v>
      </c>
      <c r="J283" s="15">
        <f t="shared" si="41"/>
        <v>0.10798193302637613</v>
      </c>
      <c r="K283" s="15">
        <f t="shared" si="42"/>
        <v>0.10650697891920077</v>
      </c>
      <c r="L283" s="15">
        <f t="shared" si="43"/>
        <v>0.78698604216159851</v>
      </c>
      <c r="M283" s="15">
        <f t="shared" si="44"/>
        <v>0.10650697891920077</v>
      </c>
    </row>
    <row r="284" spans="1:14" x14ac:dyDescent="0.25">
      <c r="A284" s="18">
        <v>32</v>
      </c>
      <c r="B284" s="18">
        <v>1</v>
      </c>
      <c r="C284" s="18" t="s">
        <v>94</v>
      </c>
      <c r="D284" s="23">
        <v>10</v>
      </c>
      <c r="E284" s="18">
        <f t="shared" si="36"/>
        <v>9</v>
      </c>
      <c r="F284" s="18">
        <f t="shared" si="37"/>
        <v>10</v>
      </c>
      <c r="G284" s="18" t="str">
        <f t="shared" si="38"/>
        <v/>
      </c>
      <c r="H284" s="19">
        <f t="shared" si="39"/>
        <v>0.10798193302637613</v>
      </c>
      <c r="I284" s="19">
        <f t="shared" si="40"/>
        <v>0.79788456080286541</v>
      </c>
      <c r="J284" s="19" t="str">
        <f t="shared" si="41"/>
        <v/>
      </c>
      <c r="K284" s="19">
        <f t="shared" si="42"/>
        <v>0.11920292202211756</v>
      </c>
      <c r="L284" s="19">
        <f t="shared" si="43"/>
        <v>0.88079707797788243</v>
      </c>
      <c r="M284" s="19" t="str">
        <f t="shared" si="44"/>
        <v/>
      </c>
      <c r="N284" s="20" t="s">
        <v>105</v>
      </c>
    </row>
    <row r="285" spans="1:14" x14ac:dyDescent="0.25">
      <c r="A285" s="2">
        <v>32</v>
      </c>
      <c r="B285" s="2">
        <v>2</v>
      </c>
      <c r="C285" s="2" t="s">
        <v>94</v>
      </c>
      <c r="D285" s="22">
        <v>6</v>
      </c>
      <c r="E285" s="2">
        <f t="shared" si="36"/>
        <v>5</v>
      </c>
      <c r="F285" s="2">
        <f t="shared" si="37"/>
        <v>6</v>
      </c>
      <c r="G285" s="2">
        <f t="shared" si="38"/>
        <v>7</v>
      </c>
      <c r="H285" s="16">
        <f t="shared" si="39"/>
        <v>0.10798193302637613</v>
      </c>
      <c r="I285" s="16">
        <f t="shared" si="40"/>
        <v>0.79788456080286541</v>
      </c>
      <c r="J285" s="16">
        <f t="shared" si="41"/>
        <v>0.10798193302637613</v>
      </c>
      <c r="K285" s="16">
        <f t="shared" si="42"/>
        <v>0.10650697891920077</v>
      </c>
      <c r="L285" s="16">
        <f t="shared" si="43"/>
        <v>0.78698604216159851</v>
      </c>
      <c r="M285" s="16">
        <f t="shared" si="44"/>
        <v>0.10650697891920077</v>
      </c>
    </row>
    <row r="286" spans="1:14" x14ac:dyDescent="0.25">
      <c r="A286" s="2">
        <v>32</v>
      </c>
      <c r="B286" s="2">
        <v>3</v>
      </c>
      <c r="C286" s="2" t="s">
        <v>94</v>
      </c>
      <c r="D286" s="22">
        <v>7</v>
      </c>
      <c r="E286" s="2">
        <f t="shared" si="36"/>
        <v>6</v>
      </c>
      <c r="F286" s="2">
        <f t="shared" si="37"/>
        <v>7</v>
      </c>
      <c r="G286" s="2">
        <f t="shared" si="38"/>
        <v>8</v>
      </c>
      <c r="H286" s="16">
        <f t="shared" si="39"/>
        <v>0.10798193302637613</v>
      </c>
      <c r="I286" s="16">
        <f t="shared" si="40"/>
        <v>0.79788456080286541</v>
      </c>
      <c r="J286" s="16">
        <f t="shared" si="41"/>
        <v>0.10798193302637613</v>
      </c>
      <c r="K286" s="16">
        <f t="shared" si="42"/>
        <v>0.10650697891920077</v>
      </c>
      <c r="L286" s="16">
        <f t="shared" si="43"/>
        <v>0.78698604216159851</v>
      </c>
      <c r="M286" s="16">
        <f t="shared" si="44"/>
        <v>0.10650697891920077</v>
      </c>
    </row>
    <row r="287" spans="1:14" x14ac:dyDescent="0.25">
      <c r="A287" s="17">
        <v>32</v>
      </c>
      <c r="B287" s="17">
        <v>1</v>
      </c>
      <c r="C287" s="17" t="s">
        <v>95</v>
      </c>
      <c r="D287" s="21">
        <v>7</v>
      </c>
      <c r="E287" s="17">
        <f t="shared" si="36"/>
        <v>6</v>
      </c>
      <c r="F287" s="17">
        <f t="shared" si="37"/>
        <v>7</v>
      </c>
      <c r="G287" s="17">
        <f t="shared" si="38"/>
        <v>8</v>
      </c>
      <c r="H287" s="15">
        <f t="shared" si="39"/>
        <v>0.10798193302637613</v>
      </c>
      <c r="I287" s="15">
        <f t="shared" si="40"/>
        <v>0.79788456080286541</v>
      </c>
      <c r="J287" s="15">
        <f t="shared" si="41"/>
        <v>0.10798193302637613</v>
      </c>
      <c r="K287" s="15">
        <f t="shared" si="42"/>
        <v>0.10650697891920077</v>
      </c>
      <c r="L287" s="15">
        <f t="shared" si="43"/>
        <v>0.78698604216159851</v>
      </c>
      <c r="M287" s="15">
        <f t="shared" si="44"/>
        <v>0.10650697891920077</v>
      </c>
    </row>
    <row r="288" spans="1:14" x14ac:dyDescent="0.25">
      <c r="A288" s="17">
        <v>32</v>
      </c>
      <c r="B288" s="17">
        <v>2</v>
      </c>
      <c r="C288" s="17" t="s">
        <v>95</v>
      </c>
      <c r="D288" s="21">
        <v>4</v>
      </c>
      <c r="E288" s="17">
        <f t="shared" si="36"/>
        <v>3</v>
      </c>
      <c r="F288" s="17">
        <f t="shared" si="37"/>
        <v>4</v>
      </c>
      <c r="G288" s="17">
        <f t="shared" si="38"/>
        <v>5</v>
      </c>
      <c r="H288" s="15">
        <f t="shared" si="39"/>
        <v>0.10798193302637613</v>
      </c>
      <c r="I288" s="15">
        <f t="shared" si="40"/>
        <v>0.79788456080286541</v>
      </c>
      <c r="J288" s="15">
        <f t="shared" si="41"/>
        <v>0.10798193302637613</v>
      </c>
      <c r="K288" s="15">
        <f t="shared" si="42"/>
        <v>0.10650697891920077</v>
      </c>
      <c r="L288" s="15">
        <f t="shared" si="43"/>
        <v>0.78698604216159851</v>
      </c>
      <c r="M288" s="15">
        <f t="shared" si="44"/>
        <v>0.10650697891920077</v>
      </c>
    </row>
    <row r="289" spans="1:14" x14ac:dyDescent="0.25">
      <c r="A289" s="17">
        <v>32</v>
      </c>
      <c r="B289" s="17">
        <v>3</v>
      </c>
      <c r="C289" s="17" t="s">
        <v>95</v>
      </c>
      <c r="D289" s="21">
        <v>6</v>
      </c>
      <c r="E289" s="17">
        <f t="shared" si="36"/>
        <v>5</v>
      </c>
      <c r="F289" s="17">
        <f t="shared" si="37"/>
        <v>6</v>
      </c>
      <c r="G289" s="17">
        <f t="shared" si="38"/>
        <v>7</v>
      </c>
      <c r="H289" s="15">
        <f t="shared" si="39"/>
        <v>0.10798193302637613</v>
      </c>
      <c r="I289" s="15">
        <f t="shared" si="40"/>
        <v>0.79788456080286541</v>
      </c>
      <c r="J289" s="15">
        <f t="shared" si="41"/>
        <v>0.10798193302637613</v>
      </c>
      <c r="K289" s="15">
        <f t="shared" si="42"/>
        <v>0.10650697891920077</v>
      </c>
      <c r="L289" s="15">
        <f t="shared" si="43"/>
        <v>0.78698604216159851</v>
      </c>
      <c r="M289" s="15">
        <f t="shared" si="44"/>
        <v>0.10650697891920077</v>
      </c>
    </row>
    <row r="290" spans="1:14" x14ac:dyDescent="0.25">
      <c r="A290" s="18">
        <v>32</v>
      </c>
      <c r="B290" s="18">
        <v>1</v>
      </c>
      <c r="C290" s="18" t="s">
        <v>96</v>
      </c>
      <c r="D290" s="23">
        <v>4</v>
      </c>
      <c r="E290" s="18">
        <f t="shared" si="36"/>
        <v>3</v>
      </c>
      <c r="F290" s="18">
        <f t="shared" si="37"/>
        <v>4</v>
      </c>
      <c r="G290" s="18">
        <f t="shared" si="38"/>
        <v>5</v>
      </c>
      <c r="H290" s="19">
        <f t="shared" si="39"/>
        <v>0.10798193302637613</v>
      </c>
      <c r="I290" s="19">
        <f t="shared" si="40"/>
        <v>0.79788456080286541</v>
      </c>
      <c r="J290" s="19">
        <f t="shared" si="41"/>
        <v>0.10798193302637613</v>
      </c>
      <c r="K290" s="19">
        <f t="shared" si="42"/>
        <v>0.10650697891920077</v>
      </c>
      <c r="L290" s="19">
        <f t="shared" si="43"/>
        <v>0.78698604216159851</v>
      </c>
      <c r="M290" s="19">
        <f t="shared" si="44"/>
        <v>0.10650697891920077</v>
      </c>
      <c r="N290" s="20" t="s">
        <v>105</v>
      </c>
    </row>
    <row r="291" spans="1:14" x14ac:dyDescent="0.25">
      <c r="A291" s="2">
        <v>32</v>
      </c>
      <c r="B291" s="2">
        <v>2</v>
      </c>
      <c r="C291" s="2" t="s">
        <v>96</v>
      </c>
      <c r="D291" s="22">
        <v>7</v>
      </c>
      <c r="E291" s="2">
        <f t="shared" si="36"/>
        <v>6</v>
      </c>
      <c r="F291" s="2">
        <f t="shared" si="37"/>
        <v>7</v>
      </c>
      <c r="G291" s="2">
        <f t="shared" si="38"/>
        <v>8</v>
      </c>
      <c r="H291" s="16">
        <f t="shared" si="39"/>
        <v>0.10798193302637613</v>
      </c>
      <c r="I291" s="16">
        <f t="shared" si="40"/>
        <v>0.79788456080286541</v>
      </c>
      <c r="J291" s="16">
        <f t="shared" si="41"/>
        <v>0.10798193302637613</v>
      </c>
      <c r="K291" s="16">
        <f t="shared" si="42"/>
        <v>0.10650697891920077</v>
      </c>
      <c r="L291" s="16">
        <f t="shared" si="43"/>
        <v>0.78698604216159851</v>
      </c>
      <c r="M291" s="16">
        <f t="shared" si="44"/>
        <v>0.10650697891920077</v>
      </c>
    </row>
    <row r="292" spans="1:14" x14ac:dyDescent="0.25">
      <c r="A292" s="2">
        <v>32</v>
      </c>
      <c r="B292" s="2">
        <v>3</v>
      </c>
      <c r="C292" s="2" t="s">
        <v>96</v>
      </c>
      <c r="D292" s="22">
        <v>8</v>
      </c>
      <c r="E292" s="2">
        <f t="shared" si="36"/>
        <v>7</v>
      </c>
      <c r="F292" s="2">
        <f t="shared" si="37"/>
        <v>8</v>
      </c>
      <c r="G292" s="2">
        <f t="shared" si="38"/>
        <v>9</v>
      </c>
      <c r="H292" s="16">
        <f t="shared" si="39"/>
        <v>0.10798193302637613</v>
      </c>
      <c r="I292" s="16">
        <f t="shared" si="40"/>
        <v>0.79788456080286541</v>
      </c>
      <c r="J292" s="16">
        <f t="shared" si="41"/>
        <v>0.10798193302637613</v>
      </c>
      <c r="K292" s="16">
        <f t="shared" si="42"/>
        <v>0.10650697891920077</v>
      </c>
      <c r="L292" s="16">
        <f t="shared" si="43"/>
        <v>0.78698604216159851</v>
      </c>
      <c r="M292" s="16">
        <f t="shared" si="44"/>
        <v>0.10650697891920077</v>
      </c>
    </row>
    <row r="293" spans="1:14" x14ac:dyDescent="0.25">
      <c r="A293" s="17">
        <v>33</v>
      </c>
      <c r="B293" s="17">
        <v>1</v>
      </c>
      <c r="C293" s="17" t="s">
        <v>94</v>
      </c>
      <c r="D293" s="21">
        <v>10</v>
      </c>
      <c r="E293" s="17">
        <f t="shared" si="36"/>
        <v>9</v>
      </c>
      <c r="F293" s="17">
        <f t="shared" si="37"/>
        <v>10</v>
      </c>
      <c r="G293" s="17" t="str">
        <f t="shared" si="38"/>
        <v/>
      </c>
      <c r="H293" s="15">
        <f t="shared" si="39"/>
        <v>0.10798193302637613</v>
      </c>
      <c r="I293" s="15">
        <f t="shared" si="40"/>
        <v>0.79788456080286541</v>
      </c>
      <c r="J293" s="15" t="str">
        <f t="shared" si="41"/>
        <v/>
      </c>
      <c r="K293" s="15">
        <f t="shared" si="42"/>
        <v>0.11920292202211756</v>
      </c>
      <c r="L293" s="15">
        <f t="shared" si="43"/>
        <v>0.88079707797788243</v>
      </c>
      <c r="M293" s="15" t="str">
        <f t="shared" si="44"/>
        <v/>
      </c>
    </row>
    <row r="294" spans="1:14" x14ac:dyDescent="0.25">
      <c r="A294" s="17">
        <v>33</v>
      </c>
      <c r="B294" s="17">
        <v>2</v>
      </c>
      <c r="C294" s="17" t="s">
        <v>94</v>
      </c>
      <c r="D294" s="21">
        <v>10</v>
      </c>
      <c r="E294" s="17">
        <f t="shared" si="36"/>
        <v>9</v>
      </c>
      <c r="F294" s="17">
        <f t="shared" si="37"/>
        <v>10</v>
      </c>
      <c r="G294" s="17" t="str">
        <f t="shared" si="38"/>
        <v/>
      </c>
      <c r="H294" s="15">
        <f t="shared" si="39"/>
        <v>0.10798193302637613</v>
      </c>
      <c r="I294" s="15">
        <f t="shared" si="40"/>
        <v>0.79788456080286541</v>
      </c>
      <c r="J294" s="15" t="str">
        <f t="shared" si="41"/>
        <v/>
      </c>
      <c r="K294" s="15">
        <f t="shared" si="42"/>
        <v>0.11920292202211756</v>
      </c>
      <c r="L294" s="15">
        <f t="shared" si="43"/>
        <v>0.88079707797788243</v>
      </c>
      <c r="M294" s="15" t="str">
        <f t="shared" si="44"/>
        <v/>
      </c>
    </row>
    <row r="295" spans="1:14" x14ac:dyDescent="0.25">
      <c r="A295" s="18">
        <v>33</v>
      </c>
      <c r="B295" s="18">
        <v>3</v>
      </c>
      <c r="C295" s="18" t="s">
        <v>94</v>
      </c>
      <c r="D295" s="23">
        <v>1</v>
      </c>
      <c r="E295" s="18" t="str">
        <f t="shared" si="36"/>
        <v/>
      </c>
      <c r="F295" s="18">
        <f t="shared" si="37"/>
        <v>1</v>
      </c>
      <c r="G295" s="18">
        <f t="shared" si="38"/>
        <v>2</v>
      </c>
      <c r="H295" s="19" t="str">
        <f t="shared" si="39"/>
        <v/>
      </c>
      <c r="I295" s="19">
        <f t="shared" si="40"/>
        <v>0.79788456080286541</v>
      </c>
      <c r="J295" s="19">
        <f t="shared" si="41"/>
        <v>0.10798193302637613</v>
      </c>
      <c r="K295" s="19" t="str">
        <f t="shared" si="42"/>
        <v/>
      </c>
      <c r="L295" s="19">
        <f t="shared" si="43"/>
        <v>0.88079707797788243</v>
      </c>
      <c r="M295" s="19">
        <f t="shared" si="44"/>
        <v>0.11920292202211756</v>
      </c>
      <c r="N295" s="20" t="s">
        <v>105</v>
      </c>
    </row>
    <row r="296" spans="1:14" x14ac:dyDescent="0.25">
      <c r="A296" s="2">
        <v>33</v>
      </c>
      <c r="B296" s="2">
        <v>1</v>
      </c>
      <c r="C296" s="2" t="s">
        <v>95</v>
      </c>
      <c r="D296" s="22">
        <v>8</v>
      </c>
      <c r="E296" s="2">
        <f t="shared" si="36"/>
        <v>7</v>
      </c>
      <c r="F296" s="2">
        <f t="shared" si="37"/>
        <v>8</v>
      </c>
      <c r="G296" s="2">
        <f t="shared" si="38"/>
        <v>9</v>
      </c>
      <c r="H296" s="16">
        <f t="shared" si="39"/>
        <v>0.10798193302637613</v>
      </c>
      <c r="I296" s="16">
        <f t="shared" si="40"/>
        <v>0.79788456080286541</v>
      </c>
      <c r="J296" s="16">
        <f t="shared" si="41"/>
        <v>0.10798193302637613</v>
      </c>
      <c r="K296" s="16">
        <f t="shared" si="42"/>
        <v>0.10650697891920077</v>
      </c>
      <c r="L296" s="16">
        <f t="shared" si="43"/>
        <v>0.78698604216159851</v>
      </c>
      <c r="M296" s="16">
        <f t="shared" si="44"/>
        <v>0.10650697891920077</v>
      </c>
    </row>
    <row r="297" spans="1:14" x14ac:dyDescent="0.25">
      <c r="A297" s="2">
        <v>33</v>
      </c>
      <c r="B297" s="2">
        <v>2</v>
      </c>
      <c r="C297" s="2" t="s">
        <v>95</v>
      </c>
      <c r="D297" s="22">
        <v>5</v>
      </c>
      <c r="E297" s="2">
        <f t="shared" si="36"/>
        <v>4</v>
      </c>
      <c r="F297" s="2">
        <f t="shared" si="37"/>
        <v>5</v>
      </c>
      <c r="G297" s="2">
        <f t="shared" si="38"/>
        <v>6</v>
      </c>
      <c r="H297" s="16">
        <f t="shared" si="39"/>
        <v>0.10798193302637613</v>
      </c>
      <c r="I297" s="16">
        <f t="shared" si="40"/>
        <v>0.79788456080286541</v>
      </c>
      <c r="J297" s="16">
        <f t="shared" si="41"/>
        <v>0.10798193302637613</v>
      </c>
      <c r="K297" s="16">
        <f t="shared" si="42"/>
        <v>0.10650697891920077</v>
      </c>
      <c r="L297" s="16">
        <f t="shared" si="43"/>
        <v>0.78698604216159851</v>
      </c>
      <c r="M297" s="16">
        <f t="shared" si="44"/>
        <v>0.10650697891920077</v>
      </c>
    </row>
    <row r="298" spans="1:14" x14ac:dyDescent="0.25">
      <c r="A298" s="2">
        <v>33</v>
      </c>
      <c r="B298" s="2">
        <v>3</v>
      </c>
      <c r="C298" s="2" t="s">
        <v>95</v>
      </c>
      <c r="D298" s="22">
        <v>6</v>
      </c>
      <c r="E298" s="2">
        <f t="shared" si="36"/>
        <v>5</v>
      </c>
      <c r="F298" s="2">
        <f t="shared" si="37"/>
        <v>6</v>
      </c>
      <c r="G298" s="2">
        <f t="shared" si="38"/>
        <v>7</v>
      </c>
      <c r="H298" s="16">
        <f t="shared" si="39"/>
        <v>0.10798193302637613</v>
      </c>
      <c r="I298" s="16">
        <f t="shared" si="40"/>
        <v>0.79788456080286541</v>
      </c>
      <c r="J298" s="16">
        <f t="shared" si="41"/>
        <v>0.10798193302637613</v>
      </c>
      <c r="K298" s="16">
        <f t="shared" si="42"/>
        <v>0.10650697891920077</v>
      </c>
      <c r="L298" s="16">
        <f t="shared" si="43"/>
        <v>0.78698604216159851</v>
      </c>
      <c r="M298" s="16">
        <f t="shared" si="44"/>
        <v>0.10650697891920077</v>
      </c>
    </row>
    <row r="299" spans="1:14" x14ac:dyDescent="0.25">
      <c r="A299" s="17">
        <v>33</v>
      </c>
      <c r="B299" s="17">
        <v>1</v>
      </c>
      <c r="C299" s="17" t="s">
        <v>96</v>
      </c>
      <c r="D299" s="21">
        <v>10</v>
      </c>
      <c r="E299" s="17">
        <f t="shared" si="36"/>
        <v>9</v>
      </c>
      <c r="F299" s="17">
        <f t="shared" si="37"/>
        <v>10</v>
      </c>
      <c r="G299" s="17" t="str">
        <f t="shared" si="38"/>
        <v/>
      </c>
      <c r="H299" s="15">
        <f t="shared" si="39"/>
        <v>0.10798193302637613</v>
      </c>
      <c r="I299" s="15">
        <f t="shared" si="40"/>
        <v>0.79788456080286541</v>
      </c>
      <c r="J299" s="15" t="str">
        <f t="shared" si="41"/>
        <v/>
      </c>
      <c r="K299" s="15">
        <f t="shared" si="42"/>
        <v>0.11920292202211756</v>
      </c>
      <c r="L299" s="15">
        <f t="shared" si="43"/>
        <v>0.88079707797788243</v>
      </c>
      <c r="M299" s="15" t="str">
        <f t="shared" si="44"/>
        <v/>
      </c>
    </row>
    <row r="300" spans="1:14" x14ac:dyDescent="0.25">
      <c r="A300" s="17">
        <v>33</v>
      </c>
      <c r="B300" s="17">
        <v>2</v>
      </c>
      <c r="C300" s="17" t="s">
        <v>96</v>
      </c>
      <c r="D300" s="21">
        <v>10</v>
      </c>
      <c r="E300" s="17">
        <f t="shared" si="36"/>
        <v>9</v>
      </c>
      <c r="F300" s="17">
        <f t="shared" si="37"/>
        <v>10</v>
      </c>
      <c r="G300" s="17" t="str">
        <f t="shared" si="38"/>
        <v/>
      </c>
      <c r="H300" s="15">
        <f t="shared" si="39"/>
        <v>0.10798193302637613</v>
      </c>
      <c r="I300" s="15">
        <f t="shared" si="40"/>
        <v>0.79788456080286541</v>
      </c>
      <c r="J300" s="15" t="str">
        <f t="shared" si="41"/>
        <v/>
      </c>
      <c r="K300" s="15">
        <f t="shared" si="42"/>
        <v>0.11920292202211756</v>
      </c>
      <c r="L300" s="15">
        <f t="shared" si="43"/>
        <v>0.88079707797788243</v>
      </c>
      <c r="M300" s="15" t="str">
        <f t="shared" si="44"/>
        <v/>
      </c>
    </row>
    <row r="301" spans="1:14" x14ac:dyDescent="0.25">
      <c r="A301" s="17">
        <v>33</v>
      </c>
      <c r="B301" s="17">
        <v>3</v>
      </c>
      <c r="C301" s="17" t="s">
        <v>96</v>
      </c>
      <c r="D301" s="21">
        <v>8</v>
      </c>
      <c r="E301" s="17">
        <f t="shared" si="36"/>
        <v>7</v>
      </c>
      <c r="F301" s="17">
        <f t="shared" si="37"/>
        <v>8</v>
      </c>
      <c r="G301" s="17">
        <f t="shared" si="38"/>
        <v>9</v>
      </c>
      <c r="H301" s="15">
        <f t="shared" si="39"/>
        <v>0.10798193302637613</v>
      </c>
      <c r="I301" s="15">
        <f t="shared" si="40"/>
        <v>0.79788456080286541</v>
      </c>
      <c r="J301" s="15">
        <f t="shared" si="41"/>
        <v>0.10798193302637613</v>
      </c>
      <c r="K301" s="15">
        <f t="shared" si="42"/>
        <v>0.10650697891920077</v>
      </c>
      <c r="L301" s="15">
        <f t="shared" si="43"/>
        <v>0.78698604216159851</v>
      </c>
      <c r="M301" s="15">
        <f t="shared" si="44"/>
        <v>0.10650697891920077</v>
      </c>
    </row>
    <row r="302" spans="1:14" x14ac:dyDescent="0.25">
      <c r="A302" s="2">
        <v>34</v>
      </c>
      <c r="B302" s="2">
        <v>1</v>
      </c>
      <c r="C302" s="2" t="s">
        <v>94</v>
      </c>
      <c r="D302" s="22">
        <v>10</v>
      </c>
      <c r="E302" s="2">
        <f t="shared" si="36"/>
        <v>9</v>
      </c>
      <c r="F302" s="2">
        <f t="shared" si="37"/>
        <v>10</v>
      </c>
      <c r="G302" s="2" t="str">
        <f t="shared" si="38"/>
        <v/>
      </c>
      <c r="H302" s="16">
        <f t="shared" si="39"/>
        <v>0.10798193302637613</v>
      </c>
      <c r="I302" s="16">
        <f t="shared" si="40"/>
        <v>0.79788456080286541</v>
      </c>
      <c r="J302" s="16" t="str">
        <f t="shared" si="41"/>
        <v/>
      </c>
      <c r="K302" s="16">
        <f t="shared" si="42"/>
        <v>0.11920292202211756</v>
      </c>
      <c r="L302" s="16">
        <f t="shared" si="43"/>
        <v>0.88079707797788243</v>
      </c>
      <c r="M302" s="16" t="str">
        <f t="shared" si="44"/>
        <v/>
      </c>
    </row>
    <row r="303" spans="1:14" x14ac:dyDescent="0.25">
      <c r="A303" s="2">
        <v>34</v>
      </c>
      <c r="B303" s="2">
        <v>2</v>
      </c>
      <c r="C303" s="2" t="s">
        <v>94</v>
      </c>
      <c r="D303" s="22">
        <v>7</v>
      </c>
      <c r="E303" s="2">
        <f t="shared" si="36"/>
        <v>6</v>
      </c>
      <c r="F303" s="2">
        <f t="shared" si="37"/>
        <v>7</v>
      </c>
      <c r="G303" s="2">
        <f t="shared" si="38"/>
        <v>8</v>
      </c>
      <c r="H303" s="16">
        <f t="shared" si="39"/>
        <v>0.10798193302637613</v>
      </c>
      <c r="I303" s="16">
        <f t="shared" si="40"/>
        <v>0.79788456080286541</v>
      </c>
      <c r="J303" s="16">
        <f t="shared" si="41"/>
        <v>0.10798193302637613</v>
      </c>
      <c r="K303" s="16">
        <f t="shared" si="42"/>
        <v>0.10650697891920077</v>
      </c>
      <c r="L303" s="16">
        <f t="shared" si="43"/>
        <v>0.78698604216159851</v>
      </c>
      <c r="M303" s="16">
        <f t="shared" si="44"/>
        <v>0.10650697891920077</v>
      </c>
    </row>
    <row r="304" spans="1:14" x14ac:dyDescent="0.25">
      <c r="A304" s="2">
        <v>34</v>
      </c>
      <c r="B304" s="2">
        <v>3</v>
      </c>
      <c r="C304" s="2" t="s">
        <v>94</v>
      </c>
      <c r="D304" s="22">
        <v>8</v>
      </c>
      <c r="E304" s="2">
        <f t="shared" si="36"/>
        <v>7</v>
      </c>
      <c r="F304" s="2">
        <f t="shared" si="37"/>
        <v>8</v>
      </c>
      <c r="G304" s="2">
        <f t="shared" si="38"/>
        <v>9</v>
      </c>
      <c r="H304" s="16">
        <f t="shared" si="39"/>
        <v>0.10798193302637613</v>
      </c>
      <c r="I304" s="16">
        <f t="shared" si="40"/>
        <v>0.79788456080286541</v>
      </c>
      <c r="J304" s="16">
        <f t="shared" si="41"/>
        <v>0.10798193302637613</v>
      </c>
      <c r="K304" s="16">
        <f t="shared" si="42"/>
        <v>0.10650697891920077</v>
      </c>
      <c r="L304" s="16">
        <f t="shared" si="43"/>
        <v>0.78698604216159851</v>
      </c>
      <c r="M304" s="16">
        <f t="shared" si="44"/>
        <v>0.10650697891920077</v>
      </c>
    </row>
    <row r="305" spans="1:14" x14ac:dyDescent="0.25">
      <c r="A305" s="17">
        <v>34</v>
      </c>
      <c r="B305" s="17">
        <v>1</v>
      </c>
      <c r="C305" s="17" t="s">
        <v>95</v>
      </c>
      <c r="D305" s="21">
        <v>5</v>
      </c>
      <c r="E305" s="17">
        <f t="shared" si="36"/>
        <v>4</v>
      </c>
      <c r="F305" s="17">
        <f t="shared" si="37"/>
        <v>5</v>
      </c>
      <c r="G305" s="17">
        <f t="shared" si="38"/>
        <v>6</v>
      </c>
      <c r="H305" s="15">
        <f t="shared" si="39"/>
        <v>0.10798193302637613</v>
      </c>
      <c r="I305" s="15">
        <f t="shared" si="40"/>
        <v>0.79788456080286541</v>
      </c>
      <c r="J305" s="15">
        <f t="shared" si="41"/>
        <v>0.10798193302637613</v>
      </c>
      <c r="K305" s="15">
        <f t="shared" si="42"/>
        <v>0.10650697891920077</v>
      </c>
      <c r="L305" s="15">
        <f t="shared" si="43"/>
        <v>0.78698604216159851</v>
      </c>
      <c r="M305" s="15">
        <f t="shared" si="44"/>
        <v>0.10650697891920077</v>
      </c>
    </row>
    <row r="306" spans="1:14" x14ac:dyDescent="0.25">
      <c r="A306" s="17">
        <v>34</v>
      </c>
      <c r="B306" s="17">
        <v>2</v>
      </c>
      <c r="C306" s="17" t="s">
        <v>95</v>
      </c>
      <c r="D306" s="21">
        <v>7</v>
      </c>
      <c r="E306" s="17">
        <f t="shared" si="36"/>
        <v>6</v>
      </c>
      <c r="F306" s="17">
        <f t="shared" si="37"/>
        <v>7</v>
      </c>
      <c r="G306" s="17">
        <f t="shared" si="38"/>
        <v>8</v>
      </c>
      <c r="H306" s="15">
        <f t="shared" si="39"/>
        <v>0.10798193302637613</v>
      </c>
      <c r="I306" s="15">
        <f t="shared" si="40"/>
        <v>0.79788456080286541</v>
      </c>
      <c r="J306" s="15">
        <f t="shared" si="41"/>
        <v>0.10798193302637613</v>
      </c>
      <c r="K306" s="15">
        <f t="shared" si="42"/>
        <v>0.10650697891920077</v>
      </c>
      <c r="L306" s="15">
        <f t="shared" si="43"/>
        <v>0.78698604216159851</v>
      </c>
      <c r="M306" s="15">
        <f t="shared" si="44"/>
        <v>0.10650697891920077</v>
      </c>
    </row>
    <row r="307" spans="1:14" x14ac:dyDescent="0.25">
      <c r="A307" s="17">
        <v>34</v>
      </c>
      <c r="B307" s="17">
        <v>3</v>
      </c>
      <c r="C307" s="17" t="s">
        <v>95</v>
      </c>
      <c r="D307" s="21">
        <v>7</v>
      </c>
      <c r="E307" s="17">
        <f t="shared" si="36"/>
        <v>6</v>
      </c>
      <c r="F307" s="17">
        <f t="shared" si="37"/>
        <v>7</v>
      </c>
      <c r="G307" s="17">
        <f t="shared" si="38"/>
        <v>8</v>
      </c>
      <c r="H307" s="15">
        <f t="shared" si="39"/>
        <v>0.10798193302637613</v>
      </c>
      <c r="I307" s="15">
        <f t="shared" si="40"/>
        <v>0.79788456080286541</v>
      </c>
      <c r="J307" s="15">
        <f t="shared" si="41"/>
        <v>0.10798193302637613</v>
      </c>
      <c r="K307" s="15">
        <f t="shared" si="42"/>
        <v>0.10650697891920077</v>
      </c>
      <c r="L307" s="15">
        <f t="shared" si="43"/>
        <v>0.78698604216159851</v>
      </c>
      <c r="M307" s="15">
        <f t="shared" si="44"/>
        <v>0.10650697891920077</v>
      </c>
    </row>
    <row r="308" spans="1:14" x14ac:dyDescent="0.25">
      <c r="A308" s="2">
        <v>34</v>
      </c>
      <c r="B308" s="2">
        <v>1</v>
      </c>
      <c r="C308" s="2" t="s">
        <v>96</v>
      </c>
      <c r="D308" s="22">
        <v>6</v>
      </c>
      <c r="E308" s="2">
        <f t="shared" si="36"/>
        <v>5</v>
      </c>
      <c r="F308" s="2">
        <f t="shared" si="37"/>
        <v>6</v>
      </c>
      <c r="G308" s="2">
        <f t="shared" si="38"/>
        <v>7</v>
      </c>
      <c r="H308" s="16">
        <f t="shared" si="39"/>
        <v>0.10798193302637613</v>
      </c>
      <c r="I308" s="16">
        <f t="shared" si="40"/>
        <v>0.79788456080286541</v>
      </c>
      <c r="J308" s="16">
        <f t="shared" si="41"/>
        <v>0.10798193302637613</v>
      </c>
      <c r="K308" s="16">
        <f t="shared" si="42"/>
        <v>0.10650697891920077</v>
      </c>
      <c r="L308" s="16">
        <f t="shared" si="43"/>
        <v>0.78698604216159851</v>
      </c>
      <c r="M308" s="16">
        <f t="shared" si="44"/>
        <v>0.10650697891920077</v>
      </c>
    </row>
    <row r="309" spans="1:14" x14ac:dyDescent="0.25">
      <c r="A309" s="2">
        <v>34</v>
      </c>
      <c r="B309" s="2">
        <v>2</v>
      </c>
      <c r="C309" s="2" t="s">
        <v>96</v>
      </c>
      <c r="D309" s="22">
        <v>7</v>
      </c>
      <c r="E309" s="2">
        <f t="shared" si="36"/>
        <v>6</v>
      </c>
      <c r="F309" s="2">
        <f t="shared" si="37"/>
        <v>7</v>
      </c>
      <c r="G309" s="2">
        <f t="shared" si="38"/>
        <v>8</v>
      </c>
      <c r="H309" s="16">
        <f t="shared" si="39"/>
        <v>0.10798193302637613</v>
      </c>
      <c r="I309" s="16">
        <f t="shared" si="40"/>
        <v>0.79788456080286541</v>
      </c>
      <c r="J309" s="16">
        <f t="shared" si="41"/>
        <v>0.10798193302637613</v>
      </c>
      <c r="K309" s="16">
        <f t="shared" si="42"/>
        <v>0.10650697891920077</v>
      </c>
      <c r="L309" s="16">
        <f t="shared" si="43"/>
        <v>0.78698604216159851</v>
      </c>
      <c r="M309" s="16">
        <f t="shared" si="44"/>
        <v>0.10650697891920077</v>
      </c>
    </row>
    <row r="310" spans="1:14" x14ac:dyDescent="0.25">
      <c r="A310" s="2">
        <v>34</v>
      </c>
      <c r="B310" s="2">
        <v>3</v>
      </c>
      <c r="C310" s="2" t="s">
        <v>96</v>
      </c>
      <c r="D310" s="22">
        <v>9</v>
      </c>
      <c r="E310" s="2">
        <f t="shared" si="36"/>
        <v>8</v>
      </c>
      <c r="F310" s="2">
        <f t="shared" si="37"/>
        <v>9</v>
      </c>
      <c r="G310" s="2">
        <f t="shared" si="38"/>
        <v>10</v>
      </c>
      <c r="H310" s="16">
        <f t="shared" si="39"/>
        <v>0.10798193302637613</v>
      </c>
      <c r="I310" s="16">
        <f t="shared" si="40"/>
        <v>0.79788456080286541</v>
      </c>
      <c r="J310" s="16">
        <f t="shared" si="41"/>
        <v>0.10798193302637613</v>
      </c>
      <c r="K310" s="16">
        <f t="shared" si="42"/>
        <v>0.10650697891920077</v>
      </c>
      <c r="L310" s="16">
        <f t="shared" si="43"/>
        <v>0.78698604216159851</v>
      </c>
      <c r="M310" s="16">
        <f t="shared" si="44"/>
        <v>0.10650697891920077</v>
      </c>
    </row>
    <row r="311" spans="1:14" x14ac:dyDescent="0.25">
      <c r="A311" s="18">
        <v>35</v>
      </c>
      <c r="B311" s="18">
        <v>1</v>
      </c>
      <c r="C311" s="18" t="s">
        <v>94</v>
      </c>
      <c r="D311" s="23">
        <v>10</v>
      </c>
      <c r="E311" s="18">
        <f t="shared" si="36"/>
        <v>9</v>
      </c>
      <c r="F311" s="18">
        <f t="shared" si="37"/>
        <v>10</v>
      </c>
      <c r="G311" s="18" t="str">
        <f t="shared" si="38"/>
        <v/>
      </c>
      <c r="H311" s="19">
        <f t="shared" si="39"/>
        <v>0.10798193302637613</v>
      </c>
      <c r="I311" s="19">
        <f t="shared" si="40"/>
        <v>0.79788456080286541</v>
      </c>
      <c r="J311" s="19" t="str">
        <f t="shared" si="41"/>
        <v/>
      </c>
      <c r="K311" s="19">
        <f t="shared" si="42"/>
        <v>0.11920292202211756</v>
      </c>
      <c r="L311" s="19">
        <f t="shared" si="43"/>
        <v>0.88079707797788243</v>
      </c>
      <c r="M311" s="19" t="str">
        <f t="shared" si="44"/>
        <v/>
      </c>
      <c r="N311" t="s">
        <v>105</v>
      </c>
    </row>
    <row r="312" spans="1:14" x14ac:dyDescent="0.25">
      <c r="A312" s="17">
        <v>35</v>
      </c>
      <c r="B312" s="17">
        <v>2</v>
      </c>
      <c r="C312" s="17" t="s">
        <v>94</v>
      </c>
      <c r="D312" s="21">
        <v>5</v>
      </c>
      <c r="E312" s="17">
        <f t="shared" si="36"/>
        <v>4</v>
      </c>
      <c r="F312" s="17">
        <f t="shared" si="37"/>
        <v>5</v>
      </c>
      <c r="G312" s="17">
        <f t="shared" si="38"/>
        <v>6</v>
      </c>
      <c r="H312" s="15">
        <f t="shared" si="39"/>
        <v>0.10798193302637613</v>
      </c>
      <c r="I312" s="15">
        <f t="shared" si="40"/>
        <v>0.79788456080286541</v>
      </c>
      <c r="J312" s="15">
        <f t="shared" si="41"/>
        <v>0.10798193302637613</v>
      </c>
      <c r="K312" s="15">
        <f t="shared" si="42"/>
        <v>0.10650697891920077</v>
      </c>
      <c r="L312" s="15">
        <f t="shared" si="43"/>
        <v>0.78698604216159851</v>
      </c>
      <c r="M312" s="15">
        <f t="shared" si="44"/>
        <v>0.10650697891920077</v>
      </c>
    </row>
    <row r="313" spans="1:14" x14ac:dyDescent="0.25">
      <c r="A313" s="17">
        <v>35</v>
      </c>
      <c r="B313" s="17">
        <v>3</v>
      </c>
      <c r="C313" s="17" t="s">
        <v>94</v>
      </c>
      <c r="D313" s="21">
        <v>5</v>
      </c>
      <c r="E313" s="17">
        <f t="shared" si="36"/>
        <v>4</v>
      </c>
      <c r="F313" s="17">
        <f t="shared" si="37"/>
        <v>5</v>
      </c>
      <c r="G313" s="17">
        <f t="shared" si="38"/>
        <v>6</v>
      </c>
      <c r="H313" s="15">
        <f t="shared" si="39"/>
        <v>0.10798193302637613</v>
      </c>
      <c r="I313" s="15">
        <f t="shared" si="40"/>
        <v>0.79788456080286541</v>
      </c>
      <c r="J313" s="15">
        <f t="shared" si="41"/>
        <v>0.10798193302637613</v>
      </c>
      <c r="K313" s="15">
        <f t="shared" si="42"/>
        <v>0.10650697891920077</v>
      </c>
      <c r="L313" s="15">
        <f t="shared" si="43"/>
        <v>0.78698604216159851</v>
      </c>
      <c r="M313" s="15">
        <f t="shared" si="44"/>
        <v>0.10650697891920077</v>
      </c>
    </row>
    <row r="314" spans="1:14" x14ac:dyDescent="0.25">
      <c r="A314" s="2">
        <v>35</v>
      </c>
      <c r="B314" s="2">
        <v>1</v>
      </c>
      <c r="C314" s="2" t="s">
        <v>95</v>
      </c>
      <c r="D314" s="22">
        <v>6</v>
      </c>
      <c r="E314" s="2">
        <f t="shared" si="36"/>
        <v>5</v>
      </c>
      <c r="F314" s="2">
        <f t="shared" si="37"/>
        <v>6</v>
      </c>
      <c r="G314" s="2">
        <f t="shared" si="38"/>
        <v>7</v>
      </c>
      <c r="H314" s="16">
        <f t="shared" si="39"/>
        <v>0.10798193302637613</v>
      </c>
      <c r="I314" s="16">
        <f t="shared" si="40"/>
        <v>0.79788456080286541</v>
      </c>
      <c r="J314" s="16">
        <f t="shared" si="41"/>
        <v>0.10798193302637613</v>
      </c>
      <c r="K314" s="16">
        <f t="shared" si="42"/>
        <v>0.10650697891920077</v>
      </c>
      <c r="L314" s="16">
        <f t="shared" si="43"/>
        <v>0.78698604216159851</v>
      </c>
      <c r="M314" s="16">
        <f t="shared" si="44"/>
        <v>0.10650697891920077</v>
      </c>
    </row>
    <row r="315" spans="1:14" x14ac:dyDescent="0.25">
      <c r="A315" s="18">
        <v>35</v>
      </c>
      <c r="B315" s="18">
        <v>2</v>
      </c>
      <c r="C315" s="18" t="s">
        <v>95</v>
      </c>
      <c r="D315" s="23">
        <v>4</v>
      </c>
      <c r="E315" s="18">
        <f t="shared" si="36"/>
        <v>3</v>
      </c>
      <c r="F315" s="18">
        <f t="shared" si="37"/>
        <v>4</v>
      </c>
      <c r="G315" s="18">
        <f t="shared" si="38"/>
        <v>5</v>
      </c>
      <c r="H315" s="19">
        <f t="shared" si="39"/>
        <v>0.10798193302637613</v>
      </c>
      <c r="I315" s="19">
        <f t="shared" si="40"/>
        <v>0.79788456080286541</v>
      </c>
      <c r="J315" s="19">
        <f t="shared" si="41"/>
        <v>0.10798193302637613</v>
      </c>
      <c r="K315" s="19">
        <f t="shared" si="42"/>
        <v>0.10650697891920077</v>
      </c>
      <c r="L315" s="19">
        <f t="shared" si="43"/>
        <v>0.78698604216159851</v>
      </c>
      <c r="M315" s="19">
        <f t="shared" si="44"/>
        <v>0.10650697891920077</v>
      </c>
      <c r="N315" t="s">
        <v>105</v>
      </c>
    </row>
    <row r="316" spans="1:14" x14ac:dyDescent="0.25">
      <c r="A316" s="2">
        <v>35</v>
      </c>
      <c r="B316" s="2">
        <v>3</v>
      </c>
      <c r="C316" s="2" t="s">
        <v>95</v>
      </c>
      <c r="D316" s="22">
        <v>8</v>
      </c>
      <c r="E316" s="2">
        <f t="shared" si="36"/>
        <v>7</v>
      </c>
      <c r="F316" s="2">
        <f t="shared" si="37"/>
        <v>8</v>
      </c>
      <c r="G316" s="2">
        <f t="shared" si="38"/>
        <v>9</v>
      </c>
      <c r="H316" s="16">
        <f t="shared" si="39"/>
        <v>0.10798193302637613</v>
      </c>
      <c r="I316" s="16">
        <f t="shared" si="40"/>
        <v>0.79788456080286541</v>
      </c>
      <c r="J316" s="16">
        <f t="shared" si="41"/>
        <v>0.10798193302637613</v>
      </c>
      <c r="K316" s="16">
        <f t="shared" si="42"/>
        <v>0.10650697891920077</v>
      </c>
      <c r="L316" s="16">
        <f t="shared" si="43"/>
        <v>0.78698604216159851</v>
      </c>
      <c r="M316" s="16">
        <f t="shared" si="44"/>
        <v>0.10650697891920077</v>
      </c>
    </row>
    <row r="317" spans="1:14" x14ac:dyDescent="0.25">
      <c r="A317" s="17">
        <v>35</v>
      </c>
      <c r="B317" s="17">
        <v>1</v>
      </c>
      <c r="C317" s="17" t="s">
        <v>96</v>
      </c>
      <c r="D317" s="21">
        <v>8</v>
      </c>
      <c r="E317" s="17">
        <f t="shared" si="36"/>
        <v>7</v>
      </c>
      <c r="F317" s="17">
        <f t="shared" si="37"/>
        <v>8</v>
      </c>
      <c r="G317" s="17">
        <f t="shared" si="38"/>
        <v>9</v>
      </c>
      <c r="H317" s="15">
        <f t="shared" si="39"/>
        <v>0.10798193302637613</v>
      </c>
      <c r="I317" s="15">
        <f t="shared" si="40"/>
        <v>0.79788456080286541</v>
      </c>
      <c r="J317" s="15">
        <f t="shared" si="41"/>
        <v>0.10798193302637613</v>
      </c>
      <c r="K317" s="15">
        <f t="shared" si="42"/>
        <v>0.10650697891920077</v>
      </c>
      <c r="L317" s="15">
        <f t="shared" si="43"/>
        <v>0.78698604216159851</v>
      </c>
      <c r="M317" s="15">
        <f t="shared" si="44"/>
        <v>0.10650697891920077</v>
      </c>
    </row>
    <row r="318" spans="1:14" x14ac:dyDescent="0.25">
      <c r="A318" s="17">
        <v>35</v>
      </c>
      <c r="B318" s="17">
        <v>2</v>
      </c>
      <c r="C318" s="17" t="s">
        <v>96</v>
      </c>
      <c r="D318" s="21">
        <v>8</v>
      </c>
      <c r="E318" s="17">
        <f t="shared" si="36"/>
        <v>7</v>
      </c>
      <c r="F318" s="17">
        <f t="shared" si="37"/>
        <v>8</v>
      </c>
      <c r="G318" s="17">
        <f t="shared" si="38"/>
        <v>9</v>
      </c>
      <c r="H318" s="15">
        <f t="shared" si="39"/>
        <v>0.10798193302637613</v>
      </c>
      <c r="I318" s="15">
        <f t="shared" si="40"/>
        <v>0.79788456080286541</v>
      </c>
      <c r="J318" s="15">
        <f t="shared" si="41"/>
        <v>0.10798193302637613</v>
      </c>
      <c r="K318" s="15">
        <f t="shared" si="42"/>
        <v>0.10650697891920077</v>
      </c>
      <c r="L318" s="15">
        <f t="shared" si="43"/>
        <v>0.78698604216159851</v>
      </c>
      <c r="M318" s="15">
        <f t="shared" si="44"/>
        <v>0.10650697891920077</v>
      </c>
    </row>
    <row r="319" spans="1:14" x14ac:dyDescent="0.25">
      <c r="A319" s="17">
        <v>35</v>
      </c>
      <c r="B319" s="17">
        <v>3</v>
      </c>
      <c r="C319" s="17" t="s">
        <v>96</v>
      </c>
      <c r="D319" s="21">
        <v>9</v>
      </c>
      <c r="E319" s="17">
        <f t="shared" si="36"/>
        <v>8</v>
      </c>
      <c r="F319" s="17">
        <f t="shared" si="37"/>
        <v>9</v>
      </c>
      <c r="G319" s="17">
        <f t="shared" si="38"/>
        <v>10</v>
      </c>
      <c r="H319" s="15">
        <f t="shared" si="39"/>
        <v>0.10798193302637613</v>
      </c>
      <c r="I319" s="15">
        <f t="shared" si="40"/>
        <v>0.79788456080286541</v>
      </c>
      <c r="J319" s="15">
        <f t="shared" si="41"/>
        <v>0.10798193302637613</v>
      </c>
      <c r="K319" s="15">
        <f t="shared" si="42"/>
        <v>0.10650697891920077</v>
      </c>
      <c r="L319" s="15">
        <f t="shared" si="43"/>
        <v>0.78698604216159851</v>
      </c>
      <c r="M319" s="15">
        <f t="shared" si="44"/>
        <v>0.10650697891920077</v>
      </c>
    </row>
    <row r="320" spans="1:14" x14ac:dyDescent="0.25">
      <c r="A320" s="2">
        <v>36</v>
      </c>
      <c r="B320" s="2">
        <v>1</v>
      </c>
      <c r="C320" s="2" t="s">
        <v>94</v>
      </c>
      <c r="D320" s="22">
        <v>10</v>
      </c>
      <c r="E320" s="2">
        <f t="shared" si="36"/>
        <v>9</v>
      </c>
      <c r="F320" s="2">
        <f t="shared" si="37"/>
        <v>10</v>
      </c>
      <c r="G320" s="2" t="str">
        <f t="shared" si="38"/>
        <v/>
      </c>
      <c r="H320" s="16">
        <f t="shared" si="39"/>
        <v>0.10798193302637613</v>
      </c>
      <c r="I320" s="16">
        <f t="shared" si="40"/>
        <v>0.79788456080286541</v>
      </c>
      <c r="J320" s="16" t="str">
        <f t="shared" si="41"/>
        <v/>
      </c>
      <c r="K320" s="16">
        <f t="shared" si="42"/>
        <v>0.11920292202211756</v>
      </c>
      <c r="L320" s="16">
        <f t="shared" si="43"/>
        <v>0.88079707797788243</v>
      </c>
      <c r="M320" s="16" t="str">
        <f t="shared" si="44"/>
        <v/>
      </c>
    </row>
    <row r="321" spans="1:13" x14ac:dyDescent="0.25">
      <c r="A321" s="2">
        <v>36</v>
      </c>
      <c r="B321" s="2">
        <v>2</v>
      </c>
      <c r="C321" s="2" t="s">
        <v>94</v>
      </c>
      <c r="D321" s="22">
        <v>8</v>
      </c>
      <c r="E321" s="2">
        <f t="shared" si="36"/>
        <v>7</v>
      </c>
      <c r="F321" s="2">
        <f t="shared" si="37"/>
        <v>8</v>
      </c>
      <c r="G321" s="2">
        <f t="shared" si="38"/>
        <v>9</v>
      </c>
      <c r="H321" s="16">
        <f t="shared" si="39"/>
        <v>0.10798193302637613</v>
      </c>
      <c r="I321" s="16">
        <f t="shared" si="40"/>
        <v>0.79788456080286541</v>
      </c>
      <c r="J321" s="16">
        <f t="shared" si="41"/>
        <v>0.10798193302637613</v>
      </c>
      <c r="K321" s="16">
        <f t="shared" si="42"/>
        <v>0.10650697891920077</v>
      </c>
      <c r="L321" s="16">
        <f t="shared" si="43"/>
        <v>0.78698604216159851</v>
      </c>
      <c r="M321" s="16">
        <f t="shared" si="44"/>
        <v>0.10650697891920077</v>
      </c>
    </row>
    <row r="322" spans="1:13" x14ac:dyDescent="0.25">
      <c r="A322" s="2">
        <v>36</v>
      </c>
      <c r="B322" s="2">
        <v>3</v>
      </c>
      <c r="C322" s="2" t="s">
        <v>94</v>
      </c>
      <c r="D322" s="22">
        <v>7</v>
      </c>
      <c r="E322" s="2">
        <f t="shared" si="36"/>
        <v>6</v>
      </c>
      <c r="F322" s="2">
        <f t="shared" si="37"/>
        <v>7</v>
      </c>
      <c r="G322" s="2">
        <f t="shared" si="38"/>
        <v>8</v>
      </c>
      <c r="H322" s="16">
        <f t="shared" si="39"/>
        <v>0.10798193302637613</v>
      </c>
      <c r="I322" s="16">
        <f t="shared" si="40"/>
        <v>0.79788456080286541</v>
      </c>
      <c r="J322" s="16">
        <f t="shared" si="41"/>
        <v>0.10798193302637613</v>
      </c>
      <c r="K322" s="16">
        <f t="shared" si="42"/>
        <v>0.10650697891920077</v>
      </c>
      <c r="L322" s="16">
        <f t="shared" si="43"/>
        <v>0.78698604216159851</v>
      </c>
      <c r="M322" s="16">
        <f t="shared" si="44"/>
        <v>0.10650697891920077</v>
      </c>
    </row>
    <row r="323" spans="1:13" x14ac:dyDescent="0.25">
      <c r="A323" s="17">
        <v>36</v>
      </c>
      <c r="B323" s="17">
        <v>1</v>
      </c>
      <c r="C323" s="17" t="s">
        <v>95</v>
      </c>
      <c r="D323" s="21">
        <v>10</v>
      </c>
      <c r="E323" s="17">
        <f t="shared" si="36"/>
        <v>9</v>
      </c>
      <c r="F323" s="17">
        <f t="shared" si="37"/>
        <v>10</v>
      </c>
      <c r="G323" s="17" t="str">
        <f t="shared" si="38"/>
        <v/>
      </c>
      <c r="H323" s="15">
        <f t="shared" si="39"/>
        <v>0.10798193302637613</v>
      </c>
      <c r="I323" s="15">
        <f t="shared" si="40"/>
        <v>0.79788456080286541</v>
      </c>
      <c r="J323" s="15" t="str">
        <f t="shared" si="41"/>
        <v/>
      </c>
      <c r="K323" s="15">
        <f t="shared" si="42"/>
        <v>0.11920292202211756</v>
      </c>
      <c r="L323" s="15">
        <f t="shared" si="43"/>
        <v>0.88079707797788243</v>
      </c>
      <c r="M323" s="15" t="str">
        <f t="shared" si="44"/>
        <v/>
      </c>
    </row>
    <row r="324" spans="1:13" x14ac:dyDescent="0.25">
      <c r="A324" s="17">
        <v>36</v>
      </c>
      <c r="B324" s="17">
        <v>2</v>
      </c>
      <c r="C324" s="17" t="s">
        <v>95</v>
      </c>
      <c r="D324" s="21">
        <v>9</v>
      </c>
      <c r="E324" s="17">
        <f t="shared" si="36"/>
        <v>8</v>
      </c>
      <c r="F324" s="17">
        <f t="shared" si="37"/>
        <v>9</v>
      </c>
      <c r="G324" s="17">
        <f t="shared" si="38"/>
        <v>10</v>
      </c>
      <c r="H324" s="15">
        <f t="shared" si="39"/>
        <v>0.10798193302637613</v>
      </c>
      <c r="I324" s="15">
        <f t="shared" si="40"/>
        <v>0.79788456080286541</v>
      </c>
      <c r="J324" s="15">
        <f t="shared" si="41"/>
        <v>0.10798193302637613</v>
      </c>
      <c r="K324" s="15">
        <f t="shared" si="42"/>
        <v>0.10650697891920077</v>
      </c>
      <c r="L324" s="15">
        <f t="shared" si="43"/>
        <v>0.78698604216159851</v>
      </c>
      <c r="M324" s="15">
        <f t="shared" si="44"/>
        <v>0.10650697891920077</v>
      </c>
    </row>
    <row r="325" spans="1:13" x14ac:dyDescent="0.25">
      <c r="A325" s="17">
        <v>36</v>
      </c>
      <c r="B325" s="17">
        <v>3</v>
      </c>
      <c r="C325" s="17" t="s">
        <v>95</v>
      </c>
      <c r="D325" s="21">
        <v>7</v>
      </c>
      <c r="E325" s="17">
        <f t="shared" si="36"/>
        <v>6</v>
      </c>
      <c r="F325" s="17">
        <f t="shared" si="37"/>
        <v>7</v>
      </c>
      <c r="G325" s="17">
        <f t="shared" si="38"/>
        <v>8</v>
      </c>
      <c r="H325" s="15">
        <f t="shared" si="39"/>
        <v>0.10798193302637613</v>
      </c>
      <c r="I325" s="15">
        <f t="shared" si="40"/>
        <v>0.79788456080286541</v>
      </c>
      <c r="J325" s="15">
        <f t="shared" si="41"/>
        <v>0.10798193302637613</v>
      </c>
      <c r="K325" s="15">
        <f t="shared" si="42"/>
        <v>0.10650697891920077</v>
      </c>
      <c r="L325" s="15">
        <f t="shared" si="43"/>
        <v>0.78698604216159851</v>
      </c>
      <c r="M325" s="15">
        <f t="shared" si="44"/>
        <v>0.10650697891920077</v>
      </c>
    </row>
    <row r="326" spans="1:13" x14ac:dyDescent="0.25">
      <c r="A326" s="2">
        <v>36</v>
      </c>
      <c r="B326" s="2">
        <v>1</v>
      </c>
      <c r="C326" s="2" t="s">
        <v>96</v>
      </c>
      <c r="D326" s="22">
        <v>10</v>
      </c>
      <c r="E326" s="2">
        <f t="shared" ref="E326:E328" si="45">IF(F326-1=0,"",F326-1)</f>
        <v>9</v>
      </c>
      <c r="F326" s="2">
        <f t="shared" ref="F326:F328" si="46">D326</f>
        <v>10</v>
      </c>
      <c r="G326" s="2" t="str">
        <f t="shared" ref="G326:G328" si="47">IF(F326+1=11,"",F326+1)</f>
        <v/>
      </c>
      <c r="H326" s="16">
        <f t="shared" ref="H326:H328" si="48">IF(E326&lt;&gt;"",(1/(0.5*SQRT(2*PI()))) * EXP(-((E326 - $D326)^2)/(2*0.5^2)),"")</f>
        <v>0.10798193302637613</v>
      </c>
      <c r="I326" s="16">
        <f t="shared" ref="I326:I328" si="49">(1/(0.5*SQRT(2*PI()))) * EXP(-((F326 - $D326)^2)/(2*0.5^2))</f>
        <v>0.79788456080286541</v>
      </c>
      <c r="J326" s="16" t="str">
        <f t="shared" ref="J326:J328" si="50">IF(G326&lt;&gt;"",(1/(0.5*SQRT(2*PI()))) * EXP(-((G326 - $D326)^2)/(2*0.5^2)),"")</f>
        <v/>
      </c>
      <c r="K326" s="16">
        <f t="shared" ref="K326:K328" si="51">IF(H326&lt;&gt;"",H326/(SUM(H326:J326)),"")</f>
        <v>0.11920292202211756</v>
      </c>
      <c r="L326" s="16">
        <f t="shared" ref="L326:L328" si="52">I326/SUM(H326:J326)</f>
        <v>0.88079707797788243</v>
      </c>
      <c r="M326" s="16" t="str">
        <f t="shared" ref="M326:M328" si="53">IF(J326&lt;&gt;"",J326/SUM(H326:J326),"")</f>
        <v/>
      </c>
    </row>
    <row r="327" spans="1:13" x14ac:dyDescent="0.25">
      <c r="A327" s="2">
        <v>36</v>
      </c>
      <c r="B327" s="2">
        <v>2</v>
      </c>
      <c r="C327" s="2" t="s">
        <v>96</v>
      </c>
      <c r="D327" s="22">
        <v>9</v>
      </c>
      <c r="E327" s="2">
        <f t="shared" si="45"/>
        <v>8</v>
      </c>
      <c r="F327" s="2">
        <f t="shared" si="46"/>
        <v>9</v>
      </c>
      <c r="G327" s="2">
        <f t="shared" si="47"/>
        <v>10</v>
      </c>
      <c r="H327" s="16">
        <f t="shared" si="48"/>
        <v>0.10798193302637613</v>
      </c>
      <c r="I327" s="16">
        <f t="shared" si="49"/>
        <v>0.79788456080286541</v>
      </c>
      <c r="J327" s="16">
        <f t="shared" si="50"/>
        <v>0.10798193302637613</v>
      </c>
      <c r="K327" s="16">
        <f t="shared" si="51"/>
        <v>0.10650697891920077</v>
      </c>
      <c r="L327" s="16">
        <f t="shared" si="52"/>
        <v>0.78698604216159851</v>
      </c>
      <c r="M327" s="16">
        <f t="shared" si="53"/>
        <v>0.10650697891920077</v>
      </c>
    </row>
    <row r="328" spans="1:13" x14ac:dyDescent="0.25">
      <c r="A328" s="2">
        <v>36</v>
      </c>
      <c r="B328" s="2">
        <v>3</v>
      </c>
      <c r="C328" s="2" t="s">
        <v>96</v>
      </c>
      <c r="D328" s="24">
        <v>9</v>
      </c>
      <c r="E328" s="2">
        <f t="shared" si="45"/>
        <v>8</v>
      </c>
      <c r="F328" s="2">
        <f t="shared" si="46"/>
        <v>9</v>
      </c>
      <c r="G328" s="2">
        <f t="shared" si="47"/>
        <v>10</v>
      </c>
      <c r="H328" s="16">
        <f t="shared" si="48"/>
        <v>0.10798193302637613</v>
      </c>
      <c r="I328" s="16">
        <f t="shared" si="49"/>
        <v>0.79788456080286541</v>
      </c>
      <c r="J328" s="16">
        <f t="shared" si="50"/>
        <v>0.10798193302637613</v>
      </c>
      <c r="K328" s="16">
        <f t="shared" si="51"/>
        <v>0.10650697891920077</v>
      </c>
      <c r="L328" s="16">
        <f t="shared" si="52"/>
        <v>0.78698604216159851</v>
      </c>
      <c r="M328" s="16">
        <f t="shared" si="53"/>
        <v>0.10650697891920077</v>
      </c>
    </row>
  </sheetData>
  <autoFilter ref="A4:N328" xr:uid="{79B0D12A-F1E6-47EA-9D63-4D83DD5E2756}"/>
  <mergeCells count="3">
    <mergeCell ref="H3:J3"/>
    <mergeCell ref="E3:G3"/>
    <mergeCell ref="K3:M3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C3A24-8A21-4B61-BD48-E047AB98A7B8}">
  <dimension ref="A1:C108"/>
  <sheetViews>
    <sheetView workbookViewId="0">
      <selection activeCell="A2" sqref="A2"/>
    </sheetView>
  </sheetViews>
  <sheetFormatPr defaultRowHeight="15" x14ac:dyDescent="0.25"/>
  <cols>
    <col min="1" max="1" width="6.7109375" style="2" bestFit="1" customWidth="1"/>
    <col min="2" max="2" width="4.85546875" style="2" bestFit="1" customWidth="1"/>
    <col min="3" max="3" width="14" style="2" bestFit="1" customWidth="1"/>
    <col min="4" max="16384" width="9.140625" style="2"/>
  </cols>
  <sheetData>
    <row r="1" spans="1:3" x14ac:dyDescent="0.25">
      <c r="A1" s="2" t="s">
        <v>242</v>
      </c>
      <c r="B1" s="33" t="s">
        <v>244</v>
      </c>
      <c r="C1" s="2" t="s">
        <v>248</v>
      </c>
    </row>
    <row r="2" spans="1:3" x14ac:dyDescent="0.25">
      <c r="A2" s="2">
        <v>1</v>
      </c>
      <c r="B2" s="33" t="s">
        <v>95</v>
      </c>
      <c r="C2" s="2">
        <v>7</v>
      </c>
    </row>
    <row r="3" spans="1:3" x14ac:dyDescent="0.25">
      <c r="A3" s="2">
        <v>1</v>
      </c>
      <c r="B3" s="33" t="s">
        <v>94</v>
      </c>
      <c r="C3" s="2">
        <v>7.6666999999999996</v>
      </c>
    </row>
    <row r="4" spans="1:3" x14ac:dyDescent="0.25">
      <c r="A4" s="2">
        <v>1</v>
      </c>
      <c r="B4" s="33" t="s">
        <v>96</v>
      </c>
      <c r="C4" s="2">
        <v>8</v>
      </c>
    </row>
    <row r="5" spans="1:3" x14ac:dyDescent="0.25">
      <c r="A5" s="34">
        <v>2</v>
      </c>
      <c r="B5" s="35" t="s">
        <v>95</v>
      </c>
      <c r="C5" s="34">
        <v>4</v>
      </c>
    </row>
    <row r="6" spans="1:3" x14ac:dyDescent="0.25">
      <c r="A6" s="2">
        <v>2</v>
      </c>
      <c r="B6" s="33" t="s">
        <v>94</v>
      </c>
      <c r="C6" s="2">
        <v>9.2538999999999998</v>
      </c>
    </row>
    <row r="7" spans="1:3" x14ac:dyDescent="0.25">
      <c r="A7" s="2">
        <v>2</v>
      </c>
      <c r="B7" s="33" t="s">
        <v>96</v>
      </c>
      <c r="C7" s="2">
        <v>7.3333000000000004</v>
      </c>
    </row>
    <row r="8" spans="1:3" x14ac:dyDescent="0.25">
      <c r="A8" s="2">
        <v>3</v>
      </c>
      <c r="B8" s="33" t="s">
        <v>95</v>
      </c>
      <c r="C8" s="2">
        <v>5.6666999999999996</v>
      </c>
    </row>
    <row r="9" spans="1:3" x14ac:dyDescent="0.25">
      <c r="A9" s="2">
        <v>3</v>
      </c>
      <c r="B9" s="33" t="s">
        <v>94</v>
      </c>
      <c r="C9" s="2">
        <v>8.6268999999999991</v>
      </c>
    </row>
    <row r="10" spans="1:3" x14ac:dyDescent="0.25">
      <c r="A10" s="34">
        <v>3</v>
      </c>
      <c r="B10" s="35" t="s">
        <v>96</v>
      </c>
      <c r="C10" s="34">
        <v>4.5</v>
      </c>
    </row>
    <row r="11" spans="1:3" x14ac:dyDescent="0.25">
      <c r="A11" s="2">
        <v>4</v>
      </c>
      <c r="B11" s="33" t="s">
        <v>95</v>
      </c>
      <c r="C11" s="2">
        <v>5</v>
      </c>
    </row>
    <row r="12" spans="1:3" x14ac:dyDescent="0.25">
      <c r="A12" s="2">
        <v>4</v>
      </c>
      <c r="B12" s="33" t="s">
        <v>94</v>
      </c>
      <c r="C12" s="2">
        <v>8.2935999999999996</v>
      </c>
    </row>
    <row r="13" spans="1:3" x14ac:dyDescent="0.25">
      <c r="A13" s="34">
        <v>4</v>
      </c>
      <c r="B13" s="35" t="s">
        <v>96</v>
      </c>
      <c r="C13" s="34">
        <v>8.9603000000000002</v>
      </c>
    </row>
    <row r="14" spans="1:3" x14ac:dyDescent="0.25">
      <c r="A14" s="2">
        <v>5</v>
      </c>
      <c r="B14" s="33" t="s">
        <v>95</v>
      </c>
      <c r="C14" s="2">
        <v>4</v>
      </c>
    </row>
    <row r="15" spans="1:3" x14ac:dyDescent="0.25">
      <c r="A15" s="2">
        <v>5</v>
      </c>
      <c r="B15" s="33" t="s">
        <v>94</v>
      </c>
      <c r="C15" s="2">
        <v>9.4404000000000003</v>
      </c>
    </row>
    <row r="16" spans="1:3" x14ac:dyDescent="0.25">
      <c r="A16" s="2">
        <v>5</v>
      </c>
      <c r="B16" s="33" t="s">
        <v>96</v>
      </c>
      <c r="C16" s="2">
        <v>8.9404000000000003</v>
      </c>
    </row>
    <row r="17" spans="1:3" x14ac:dyDescent="0.25">
      <c r="A17" s="2">
        <v>6</v>
      </c>
      <c r="B17" s="33" t="s">
        <v>95</v>
      </c>
      <c r="C17" s="2">
        <v>4.6666999999999996</v>
      </c>
    </row>
    <row r="18" spans="1:3" x14ac:dyDescent="0.25">
      <c r="A18" s="2">
        <v>6</v>
      </c>
      <c r="B18" s="33" t="s">
        <v>94</v>
      </c>
      <c r="C18" s="2">
        <v>8.2935999999999996</v>
      </c>
    </row>
    <row r="19" spans="1:3" x14ac:dyDescent="0.25">
      <c r="A19" s="2">
        <v>6</v>
      </c>
      <c r="B19" s="33" t="s">
        <v>96</v>
      </c>
      <c r="C19" s="2">
        <v>7.9603000000000002</v>
      </c>
    </row>
    <row r="20" spans="1:3" x14ac:dyDescent="0.25">
      <c r="A20" s="2">
        <v>7</v>
      </c>
      <c r="B20" s="33" t="s">
        <v>95</v>
      </c>
      <c r="C20" s="2">
        <v>5</v>
      </c>
    </row>
    <row r="21" spans="1:3" x14ac:dyDescent="0.25">
      <c r="A21" s="2">
        <v>7</v>
      </c>
      <c r="B21" s="33" t="s">
        <v>94</v>
      </c>
      <c r="C21" s="2">
        <v>9.4404000000000003</v>
      </c>
    </row>
    <row r="22" spans="1:3" x14ac:dyDescent="0.25">
      <c r="A22" s="2">
        <v>7</v>
      </c>
      <c r="B22" s="33" t="s">
        <v>96</v>
      </c>
      <c r="C22" s="2">
        <v>7.5</v>
      </c>
    </row>
    <row r="23" spans="1:3" x14ac:dyDescent="0.25">
      <c r="A23" s="2">
        <v>8</v>
      </c>
      <c r="B23" s="33" t="s">
        <v>95</v>
      </c>
      <c r="C23" s="2">
        <v>3.5</v>
      </c>
    </row>
    <row r="24" spans="1:3" x14ac:dyDescent="0.25">
      <c r="A24" s="2">
        <v>8</v>
      </c>
      <c r="B24" s="33" t="s">
        <v>94</v>
      </c>
      <c r="C24" s="2">
        <v>6.6666999999999996</v>
      </c>
    </row>
    <row r="25" spans="1:3" x14ac:dyDescent="0.25">
      <c r="A25" s="2">
        <v>8</v>
      </c>
      <c r="B25" s="33" t="s">
        <v>96</v>
      </c>
      <c r="C25" s="2">
        <v>6</v>
      </c>
    </row>
    <row r="26" spans="1:3" x14ac:dyDescent="0.25">
      <c r="A26" s="2">
        <v>9</v>
      </c>
      <c r="B26" s="33" t="s">
        <v>95</v>
      </c>
      <c r="C26" s="2">
        <v>1.1192</v>
      </c>
    </row>
    <row r="27" spans="1:3" x14ac:dyDescent="0.25">
      <c r="A27" s="2">
        <v>9</v>
      </c>
      <c r="B27" s="33" t="s">
        <v>94</v>
      </c>
      <c r="C27" s="2">
        <v>9.2935999999999996</v>
      </c>
    </row>
    <row r="28" spans="1:3" x14ac:dyDescent="0.25">
      <c r="A28" s="2">
        <v>9</v>
      </c>
      <c r="B28" s="33" t="s">
        <v>96</v>
      </c>
      <c r="C28" s="2">
        <v>5.6666999999999996</v>
      </c>
    </row>
    <row r="29" spans="1:3" x14ac:dyDescent="0.25">
      <c r="A29" s="2">
        <v>10</v>
      </c>
      <c r="B29" s="33" t="s">
        <v>95</v>
      </c>
      <c r="C29" s="2">
        <v>5.5</v>
      </c>
    </row>
    <row r="30" spans="1:3" x14ac:dyDescent="0.25">
      <c r="A30" s="2">
        <v>10</v>
      </c>
      <c r="B30" s="33" t="s">
        <v>94</v>
      </c>
      <c r="C30" s="2">
        <v>7</v>
      </c>
    </row>
    <row r="31" spans="1:3" x14ac:dyDescent="0.25">
      <c r="A31" s="2">
        <v>10</v>
      </c>
      <c r="B31" s="33" t="s">
        <v>96</v>
      </c>
      <c r="C31" s="2">
        <v>6.3333000000000004</v>
      </c>
    </row>
    <row r="32" spans="1:3" x14ac:dyDescent="0.25">
      <c r="A32" s="2">
        <v>11</v>
      </c>
      <c r="B32" s="33" t="s">
        <v>95</v>
      </c>
      <c r="C32" s="2">
        <v>6</v>
      </c>
    </row>
    <row r="33" spans="1:3" x14ac:dyDescent="0.25">
      <c r="A33" s="2">
        <v>11</v>
      </c>
      <c r="B33" s="33" t="s">
        <v>94</v>
      </c>
      <c r="C33" s="2">
        <v>4.5</v>
      </c>
    </row>
    <row r="34" spans="1:3" x14ac:dyDescent="0.25">
      <c r="A34" s="2">
        <v>11</v>
      </c>
      <c r="B34" s="33" t="s">
        <v>96</v>
      </c>
      <c r="C34" s="2">
        <v>6.3333000000000004</v>
      </c>
    </row>
    <row r="35" spans="1:3" x14ac:dyDescent="0.25">
      <c r="A35" s="2">
        <v>12</v>
      </c>
      <c r="B35" s="33" t="s">
        <v>95</v>
      </c>
      <c r="C35" s="2">
        <v>6</v>
      </c>
    </row>
    <row r="36" spans="1:3" x14ac:dyDescent="0.25">
      <c r="A36" s="2">
        <v>12</v>
      </c>
      <c r="B36" s="33" t="s">
        <v>94</v>
      </c>
      <c r="C36" s="2">
        <v>4</v>
      </c>
    </row>
    <row r="37" spans="1:3" x14ac:dyDescent="0.25">
      <c r="A37" s="2">
        <v>12</v>
      </c>
      <c r="B37" s="33" t="s">
        <v>96</v>
      </c>
      <c r="C37" s="2">
        <v>6.3333000000000004</v>
      </c>
    </row>
    <row r="38" spans="1:3" x14ac:dyDescent="0.25">
      <c r="A38" s="2">
        <v>13</v>
      </c>
      <c r="B38" s="33" t="s">
        <v>95</v>
      </c>
      <c r="C38" s="2">
        <v>4.3333000000000004</v>
      </c>
    </row>
    <row r="39" spans="1:3" x14ac:dyDescent="0.25">
      <c r="A39" s="2">
        <v>13</v>
      </c>
      <c r="B39" s="33" t="s">
        <v>94</v>
      </c>
      <c r="C39" s="2">
        <v>8.6667000000000005</v>
      </c>
    </row>
    <row r="40" spans="1:3" x14ac:dyDescent="0.25">
      <c r="A40" s="2">
        <v>13</v>
      </c>
      <c r="B40" s="33" t="s">
        <v>96</v>
      </c>
      <c r="C40" s="2">
        <v>7.3333000000000004</v>
      </c>
    </row>
    <row r="41" spans="1:3" x14ac:dyDescent="0.25">
      <c r="A41" s="2">
        <v>14</v>
      </c>
      <c r="B41" s="33" t="s">
        <v>95</v>
      </c>
      <c r="C41" s="2">
        <v>2.3731</v>
      </c>
    </row>
    <row r="42" spans="1:3" x14ac:dyDescent="0.25">
      <c r="A42" s="2">
        <v>14</v>
      </c>
      <c r="B42" s="33" t="s">
        <v>94</v>
      </c>
      <c r="C42" s="2">
        <v>8.5</v>
      </c>
    </row>
    <row r="43" spans="1:3" x14ac:dyDescent="0.25">
      <c r="A43" s="2">
        <v>14</v>
      </c>
      <c r="B43" s="33" t="s">
        <v>96</v>
      </c>
      <c r="C43" s="2">
        <v>7.6666999999999996</v>
      </c>
    </row>
    <row r="44" spans="1:3" x14ac:dyDescent="0.25">
      <c r="A44" s="2">
        <v>15</v>
      </c>
      <c r="B44" s="33" t="s">
        <v>95</v>
      </c>
      <c r="C44" s="2">
        <v>2.7063999999999999</v>
      </c>
    </row>
    <row r="45" spans="1:3" x14ac:dyDescent="0.25">
      <c r="A45" s="2">
        <v>15</v>
      </c>
      <c r="B45" s="33" t="s">
        <v>94</v>
      </c>
      <c r="C45" s="2">
        <v>7</v>
      </c>
    </row>
    <row r="46" spans="1:3" x14ac:dyDescent="0.25">
      <c r="A46" s="2">
        <v>15</v>
      </c>
      <c r="B46" s="33" t="s">
        <v>96</v>
      </c>
      <c r="C46" s="2">
        <v>7.3333000000000004</v>
      </c>
    </row>
    <row r="47" spans="1:3" x14ac:dyDescent="0.25">
      <c r="A47" s="2">
        <v>16</v>
      </c>
      <c r="B47" s="33" t="s">
        <v>95</v>
      </c>
      <c r="C47" s="2">
        <v>9.4404000000000003</v>
      </c>
    </row>
    <row r="48" spans="1:3" x14ac:dyDescent="0.25">
      <c r="A48" s="2">
        <v>16</v>
      </c>
      <c r="B48" s="33" t="s">
        <v>94</v>
      </c>
      <c r="C48" s="2">
        <v>3.6667000000000001</v>
      </c>
    </row>
    <row r="49" spans="1:3" x14ac:dyDescent="0.25">
      <c r="A49" s="2">
        <v>16</v>
      </c>
      <c r="B49" s="33" t="s">
        <v>96</v>
      </c>
      <c r="C49" s="2">
        <v>7.6666999999999996</v>
      </c>
    </row>
    <row r="50" spans="1:3" x14ac:dyDescent="0.25">
      <c r="A50" s="2">
        <v>17</v>
      </c>
      <c r="B50" s="33" t="s">
        <v>95</v>
      </c>
      <c r="C50" s="2">
        <v>3.6667000000000001</v>
      </c>
    </row>
    <row r="51" spans="1:3" x14ac:dyDescent="0.25">
      <c r="A51" s="2">
        <v>17</v>
      </c>
      <c r="B51" s="33" t="s">
        <v>94</v>
      </c>
      <c r="C51" s="2">
        <v>2</v>
      </c>
    </row>
    <row r="52" spans="1:3" x14ac:dyDescent="0.25">
      <c r="A52" s="2">
        <v>17</v>
      </c>
      <c r="B52" s="33" t="s">
        <v>96</v>
      </c>
      <c r="C52" s="2">
        <v>8</v>
      </c>
    </row>
    <row r="53" spans="1:3" x14ac:dyDescent="0.25">
      <c r="A53" s="2">
        <v>18</v>
      </c>
      <c r="B53" s="33" t="s">
        <v>95</v>
      </c>
      <c r="C53" s="2">
        <v>5.6666999999999996</v>
      </c>
    </row>
    <row r="54" spans="1:3" x14ac:dyDescent="0.25">
      <c r="A54" s="2">
        <v>18</v>
      </c>
      <c r="B54" s="33" t="s">
        <v>94</v>
      </c>
      <c r="C54" s="2">
        <v>5.3333000000000004</v>
      </c>
    </row>
    <row r="55" spans="1:3" x14ac:dyDescent="0.25">
      <c r="A55" s="2">
        <v>18</v>
      </c>
      <c r="B55" s="33" t="s">
        <v>96</v>
      </c>
      <c r="C55" s="2">
        <v>8.3332999999999995</v>
      </c>
    </row>
    <row r="56" spans="1:3" x14ac:dyDescent="0.25">
      <c r="A56" s="2">
        <v>19</v>
      </c>
      <c r="B56" s="33" t="s">
        <v>95</v>
      </c>
      <c r="C56" s="2">
        <v>5</v>
      </c>
    </row>
    <row r="57" spans="1:3" x14ac:dyDescent="0.25">
      <c r="A57" s="2">
        <v>19</v>
      </c>
      <c r="B57" s="33" t="s">
        <v>94</v>
      </c>
      <c r="C57" s="2">
        <v>3.6667000000000001</v>
      </c>
    </row>
    <row r="58" spans="1:3" x14ac:dyDescent="0.25">
      <c r="A58" s="2">
        <v>19</v>
      </c>
      <c r="B58" s="33" t="s">
        <v>96</v>
      </c>
      <c r="C58" s="2">
        <v>8</v>
      </c>
    </row>
    <row r="59" spans="1:3" x14ac:dyDescent="0.25">
      <c r="A59" s="2">
        <v>20</v>
      </c>
      <c r="B59" s="33" t="s">
        <v>95</v>
      </c>
      <c r="C59" s="2">
        <v>4.5</v>
      </c>
    </row>
    <row r="60" spans="1:3" x14ac:dyDescent="0.25">
      <c r="A60" s="2">
        <v>20</v>
      </c>
      <c r="B60" s="33" t="s">
        <v>94</v>
      </c>
      <c r="C60" s="2">
        <v>1.1192</v>
      </c>
    </row>
    <row r="61" spans="1:3" x14ac:dyDescent="0.25">
      <c r="A61" s="2">
        <v>20</v>
      </c>
      <c r="B61" s="33" t="s">
        <v>96</v>
      </c>
      <c r="C61" s="2">
        <v>7.6666999999999996</v>
      </c>
    </row>
    <row r="62" spans="1:3" x14ac:dyDescent="0.25">
      <c r="A62" s="2">
        <v>21</v>
      </c>
      <c r="B62" s="33" t="s">
        <v>95</v>
      </c>
      <c r="C62" s="2">
        <v>9.4404000000000003</v>
      </c>
    </row>
    <row r="63" spans="1:3" x14ac:dyDescent="0.25">
      <c r="A63" s="2">
        <v>21</v>
      </c>
      <c r="B63" s="33" t="s">
        <v>94</v>
      </c>
      <c r="C63" s="2">
        <v>5</v>
      </c>
    </row>
    <row r="64" spans="1:3" x14ac:dyDescent="0.25">
      <c r="A64" s="2">
        <v>21</v>
      </c>
      <c r="B64" s="33" t="s">
        <v>96</v>
      </c>
      <c r="C64" s="2">
        <v>8</v>
      </c>
    </row>
    <row r="65" spans="1:3" x14ac:dyDescent="0.25">
      <c r="A65" s="2">
        <v>22</v>
      </c>
      <c r="B65" s="33" t="s">
        <v>94</v>
      </c>
      <c r="C65" s="2">
        <v>8.2935999999999996</v>
      </c>
    </row>
    <row r="66" spans="1:3" x14ac:dyDescent="0.25">
      <c r="A66" s="2">
        <v>22</v>
      </c>
      <c r="B66" s="33" t="s">
        <v>96</v>
      </c>
      <c r="C66" s="2">
        <v>7.6666999999999996</v>
      </c>
    </row>
    <row r="67" spans="1:3" x14ac:dyDescent="0.25">
      <c r="A67" s="2">
        <v>23</v>
      </c>
      <c r="B67" s="33" t="s">
        <v>95</v>
      </c>
      <c r="C67" s="2">
        <v>1.1192</v>
      </c>
    </row>
    <row r="68" spans="1:3" x14ac:dyDescent="0.25">
      <c r="A68" s="2">
        <v>23</v>
      </c>
      <c r="B68" s="33" t="s">
        <v>94</v>
      </c>
      <c r="C68" s="2">
        <v>3</v>
      </c>
    </row>
    <row r="69" spans="1:3" x14ac:dyDescent="0.25">
      <c r="A69" s="2">
        <v>23</v>
      </c>
      <c r="B69" s="33" t="s">
        <v>96</v>
      </c>
      <c r="C69" s="2">
        <v>8.9603000000000002</v>
      </c>
    </row>
    <row r="70" spans="1:3" x14ac:dyDescent="0.25">
      <c r="A70" s="2">
        <v>24</v>
      </c>
      <c r="B70" s="33" t="s">
        <v>95</v>
      </c>
      <c r="C70" s="2">
        <v>1.5596000000000001</v>
      </c>
    </row>
    <row r="71" spans="1:3" x14ac:dyDescent="0.25">
      <c r="A71" s="2">
        <v>24</v>
      </c>
      <c r="B71" s="33" t="s">
        <v>94</v>
      </c>
      <c r="C71" s="2">
        <v>3</v>
      </c>
    </row>
    <row r="72" spans="1:3" x14ac:dyDescent="0.25">
      <c r="A72" s="2">
        <v>24</v>
      </c>
      <c r="B72" s="33" t="s">
        <v>96</v>
      </c>
      <c r="C72" s="2">
        <v>7.3333000000000004</v>
      </c>
    </row>
    <row r="73" spans="1:3" x14ac:dyDescent="0.25">
      <c r="A73" s="2">
        <v>25</v>
      </c>
      <c r="B73" s="33" t="s">
        <v>95</v>
      </c>
      <c r="C73" s="2">
        <v>6</v>
      </c>
    </row>
    <row r="74" spans="1:3" x14ac:dyDescent="0.25">
      <c r="A74" s="2">
        <v>25</v>
      </c>
      <c r="B74" s="33" t="s">
        <v>94</v>
      </c>
      <c r="C74" s="2">
        <v>2.5</v>
      </c>
    </row>
    <row r="75" spans="1:3" x14ac:dyDescent="0.25">
      <c r="A75" s="2">
        <v>25</v>
      </c>
      <c r="B75" s="33" t="s">
        <v>96</v>
      </c>
      <c r="C75" s="2">
        <v>4</v>
      </c>
    </row>
    <row r="76" spans="1:3" x14ac:dyDescent="0.25">
      <c r="A76" s="2">
        <v>26</v>
      </c>
      <c r="B76" s="33" t="s">
        <v>95</v>
      </c>
      <c r="C76" s="2">
        <v>2.6667000000000001</v>
      </c>
    </row>
    <row r="77" spans="1:3" x14ac:dyDescent="0.25">
      <c r="A77" s="2">
        <v>26</v>
      </c>
      <c r="B77" s="33" t="s">
        <v>94</v>
      </c>
      <c r="C77" s="2">
        <v>6.6666999999999996</v>
      </c>
    </row>
    <row r="78" spans="1:3" x14ac:dyDescent="0.25">
      <c r="A78" s="2">
        <v>26</v>
      </c>
      <c r="B78" s="33" t="s">
        <v>96</v>
      </c>
      <c r="C78" s="2">
        <v>6</v>
      </c>
    </row>
    <row r="79" spans="1:3" x14ac:dyDescent="0.25">
      <c r="A79" s="2">
        <v>27</v>
      </c>
      <c r="B79" s="33" t="s">
        <v>95</v>
      </c>
      <c r="C79" s="2">
        <v>2.7063999999999999</v>
      </c>
    </row>
    <row r="80" spans="1:3" x14ac:dyDescent="0.25">
      <c r="A80" s="2">
        <v>27</v>
      </c>
      <c r="B80" s="33" t="s">
        <v>94</v>
      </c>
      <c r="C80" s="2">
        <v>7.9603000000000002</v>
      </c>
    </row>
    <row r="81" spans="1:3" x14ac:dyDescent="0.25">
      <c r="A81" s="2">
        <v>27</v>
      </c>
      <c r="B81" s="33" t="s">
        <v>96</v>
      </c>
      <c r="C81" s="2">
        <v>7.3333000000000004</v>
      </c>
    </row>
    <row r="82" spans="1:3" x14ac:dyDescent="0.25">
      <c r="A82" s="2">
        <v>28</v>
      </c>
      <c r="B82" s="33" t="s">
        <v>95</v>
      </c>
      <c r="C82" s="2">
        <v>2.7063999999999999</v>
      </c>
    </row>
    <row r="83" spans="1:3" x14ac:dyDescent="0.25">
      <c r="A83" s="2">
        <v>28</v>
      </c>
      <c r="B83" s="33" t="s">
        <v>94</v>
      </c>
      <c r="C83" s="2">
        <v>8.9404000000000003</v>
      </c>
    </row>
    <row r="84" spans="1:3" x14ac:dyDescent="0.25">
      <c r="A84" s="2">
        <v>28</v>
      </c>
      <c r="B84" s="33" t="s">
        <v>96</v>
      </c>
      <c r="C84" s="2">
        <v>6.3333000000000004</v>
      </c>
    </row>
    <row r="85" spans="1:3" x14ac:dyDescent="0.25">
      <c r="A85" s="2">
        <v>29</v>
      </c>
      <c r="B85" s="33" t="s">
        <v>95</v>
      </c>
      <c r="C85" s="2">
        <v>1.5596000000000001</v>
      </c>
    </row>
    <row r="86" spans="1:3" x14ac:dyDescent="0.25">
      <c r="A86" s="2">
        <v>29</v>
      </c>
      <c r="B86" s="33" t="s">
        <v>94</v>
      </c>
      <c r="C86" s="2">
        <v>9.4404000000000003</v>
      </c>
    </row>
    <row r="87" spans="1:3" x14ac:dyDescent="0.25">
      <c r="A87" s="2">
        <v>29</v>
      </c>
      <c r="B87" s="33" t="s">
        <v>96</v>
      </c>
      <c r="C87" s="2">
        <v>7</v>
      </c>
    </row>
    <row r="88" spans="1:3" x14ac:dyDescent="0.25">
      <c r="A88" s="2">
        <v>30</v>
      </c>
      <c r="B88" s="33" t="s">
        <v>95</v>
      </c>
      <c r="C88" s="2">
        <v>7</v>
      </c>
    </row>
    <row r="89" spans="1:3" x14ac:dyDescent="0.25">
      <c r="A89" s="2">
        <v>30</v>
      </c>
      <c r="B89" s="33" t="s">
        <v>94</v>
      </c>
      <c r="C89" s="2">
        <v>7.9603000000000002</v>
      </c>
    </row>
    <row r="90" spans="1:3" x14ac:dyDescent="0.25">
      <c r="A90" s="2">
        <v>30</v>
      </c>
      <c r="B90" s="33" t="s">
        <v>96</v>
      </c>
      <c r="C90" s="2">
        <v>8.6667000000000005</v>
      </c>
    </row>
    <row r="91" spans="1:3" x14ac:dyDescent="0.25">
      <c r="A91" s="2">
        <v>31</v>
      </c>
      <c r="B91" s="33" t="s">
        <v>95</v>
      </c>
      <c r="C91" s="2">
        <v>6</v>
      </c>
    </row>
    <row r="92" spans="1:3" x14ac:dyDescent="0.25">
      <c r="A92" s="2">
        <v>31</v>
      </c>
      <c r="B92" s="33" t="s">
        <v>94</v>
      </c>
      <c r="C92" s="2">
        <v>5.5</v>
      </c>
    </row>
    <row r="93" spans="1:3" x14ac:dyDescent="0.25">
      <c r="A93" s="2">
        <v>31</v>
      </c>
      <c r="B93" s="33" t="s">
        <v>96</v>
      </c>
      <c r="C93" s="2">
        <v>7.9603000000000002</v>
      </c>
    </row>
    <row r="94" spans="1:3" x14ac:dyDescent="0.25">
      <c r="A94" s="2">
        <v>32</v>
      </c>
      <c r="B94" s="33" t="s">
        <v>95</v>
      </c>
      <c r="C94" s="2">
        <v>5.6666999999999996</v>
      </c>
    </row>
    <row r="95" spans="1:3" x14ac:dyDescent="0.25">
      <c r="A95" s="2">
        <v>32</v>
      </c>
      <c r="B95" s="33" t="s">
        <v>94</v>
      </c>
      <c r="C95" s="2">
        <v>6.5</v>
      </c>
    </row>
    <row r="96" spans="1:3" x14ac:dyDescent="0.25">
      <c r="A96" s="2">
        <v>32</v>
      </c>
      <c r="B96" s="33" t="s">
        <v>96</v>
      </c>
      <c r="C96" s="2">
        <v>7.5</v>
      </c>
    </row>
    <row r="97" spans="1:3" x14ac:dyDescent="0.25">
      <c r="A97" s="2">
        <v>33</v>
      </c>
      <c r="B97" s="33" t="s">
        <v>95</v>
      </c>
      <c r="C97" s="2">
        <v>6.3333000000000004</v>
      </c>
    </row>
    <row r="98" spans="1:3" x14ac:dyDescent="0.25">
      <c r="A98" s="2">
        <v>33</v>
      </c>
      <c r="B98" s="33" t="s">
        <v>94</v>
      </c>
      <c r="C98" s="2">
        <v>9.8808000000000007</v>
      </c>
    </row>
    <row r="99" spans="1:3" x14ac:dyDescent="0.25">
      <c r="A99" s="2">
        <v>33</v>
      </c>
      <c r="B99" s="33" t="s">
        <v>96</v>
      </c>
      <c r="C99" s="2">
        <v>9.2538999999999998</v>
      </c>
    </row>
    <row r="100" spans="1:3" x14ac:dyDescent="0.25">
      <c r="A100" s="2">
        <v>34</v>
      </c>
      <c r="B100" s="33" t="s">
        <v>95</v>
      </c>
      <c r="C100" s="2">
        <v>6.3333000000000004</v>
      </c>
    </row>
    <row r="101" spans="1:3" x14ac:dyDescent="0.25">
      <c r="A101" s="2">
        <v>34</v>
      </c>
      <c r="B101" s="33" t="s">
        <v>94</v>
      </c>
      <c r="C101" s="2">
        <v>8.2935999999999996</v>
      </c>
    </row>
    <row r="102" spans="1:3" x14ac:dyDescent="0.25">
      <c r="A102" s="2">
        <v>34</v>
      </c>
      <c r="B102" s="33" t="s">
        <v>96</v>
      </c>
      <c r="C102" s="2">
        <v>7.3333000000000004</v>
      </c>
    </row>
    <row r="103" spans="1:3" x14ac:dyDescent="0.25">
      <c r="A103" s="2">
        <v>35</v>
      </c>
      <c r="B103" s="33" t="s">
        <v>95</v>
      </c>
      <c r="C103" s="2">
        <v>7</v>
      </c>
    </row>
    <row r="104" spans="1:3" x14ac:dyDescent="0.25">
      <c r="A104" s="2">
        <v>35</v>
      </c>
      <c r="B104" s="33" t="s">
        <v>94</v>
      </c>
      <c r="C104" s="2">
        <v>5</v>
      </c>
    </row>
    <row r="105" spans="1:3" x14ac:dyDescent="0.25">
      <c r="A105" s="2">
        <v>35</v>
      </c>
      <c r="B105" s="33" t="s">
        <v>96</v>
      </c>
      <c r="C105" s="2">
        <v>8.3332999999999995</v>
      </c>
    </row>
    <row r="106" spans="1:3" x14ac:dyDescent="0.25">
      <c r="A106" s="2">
        <v>36</v>
      </c>
      <c r="B106" s="33" t="s">
        <v>95</v>
      </c>
      <c r="C106" s="2">
        <v>8.6268999999999991</v>
      </c>
    </row>
    <row r="107" spans="1:3" x14ac:dyDescent="0.25">
      <c r="A107" s="2">
        <v>36</v>
      </c>
      <c r="B107" s="33" t="s">
        <v>94</v>
      </c>
      <c r="C107" s="2">
        <v>8.2935999999999996</v>
      </c>
    </row>
    <row r="108" spans="1:3" x14ac:dyDescent="0.25">
      <c r="A108" s="2">
        <v>36</v>
      </c>
      <c r="B108" s="33" t="s">
        <v>96</v>
      </c>
      <c r="C108" s="2">
        <v>9.2935999999999996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E9264-5DF2-4C99-948E-B3B70B6607AF}">
  <dimension ref="A1:E37"/>
  <sheetViews>
    <sheetView topLeftCell="A2" workbookViewId="0">
      <selection activeCell="B23" sqref="B23"/>
    </sheetView>
  </sheetViews>
  <sheetFormatPr defaultRowHeight="15" x14ac:dyDescent="0.25"/>
  <sheetData>
    <row r="1" spans="1:5" x14ac:dyDescent="0.25">
      <c r="A1" s="29" t="s">
        <v>109</v>
      </c>
      <c r="B1" s="27" t="s">
        <v>100</v>
      </c>
      <c r="C1" s="27" t="s">
        <v>107</v>
      </c>
      <c r="D1" s="27" t="s">
        <v>102</v>
      </c>
    </row>
    <row r="2" spans="1:5" x14ac:dyDescent="0.25">
      <c r="A2" s="30">
        <v>6</v>
      </c>
      <c r="B2" t="s">
        <v>108</v>
      </c>
    </row>
    <row r="3" spans="1:5" x14ac:dyDescent="0.25">
      <c r="A3" s="30">
        <v>7</v>
      </c>
      <c r="C3" t="s">
        <v>108</v>
      </c>
    </row>
    <row r="4" spans="1:5" x14ac:dyDescent="0.25">
      <c r="A4" s="29">
        <v>8</v>
      </c>
      <c r="D4" t="s">
        <v>108</v>
      </c>
    </row>
    <row r="5" spans="1:5" x14ac:dyDescent="0.25">
      <c r="A5" s="29"/>
    </row>
    <row r="6" spans="1:5" x14ac:dyDescent="0.25">
      <c r="A6" s="29"/>
    </row>
    <row r="7" spans="1:5" x14ac:dyDescent="0.25">
      <c r="A7" s="29" t="s">
        <v>109</v>
      </c>
      <c r="B7" t="s">
        <v>110</v>
      </c>
      <c r="C7" t="s">
        <v>112</v>
      </c>
      <c r="D7" t="s">
        <v>113</v>
      </c>
    </row>
    <row r="8" spans="1:5" x14ac:dyDescent="0.25">
      <c r="A8" s="29">
        <v>6</v>
      </c>
      <c r="B8" t="s">
        <v>111</v>
      </c>
      <c r="C8" s="31">
        <f>Planilha3!K8+Planilha3!K9</f>
        <v>0.21301395783840155</v>
      </c>
      <c r="D8" s="31">
        <f>C8/3</f>
        <v>7.100465261280052E-2</v>
      </c>
      <c r="E8">
        <f>A8*D8</f>
        <v>0.42602791567680309</v>
      </c>
    </row>
    <row r="9" spans="1:5" x14ac:dyDescent="0.25">
      <c r="A9" s="29">
        <v>7</v>
      </c>
      <c r="B9" t="s">
        <v>111</v>
      </c>
      <c r="C9" s="31">
        <f>Planilha3!L8+Planilha3!L9</f>
        <v>1.573972084323197</v>
      </c>
      <c r="D9" s="31">
        <f>C9/2</f>
        <v>0.78698604216159851</v>
      </c>
      <c r="E9">
        <f>A9*D9</f>
        <v>5.5089022951311897</v>
      </c>
    </row>
    <row r="10" spans="1:5" x14ac:dyDescent="0.25">
      <c r="A10" s="29">
        <v>8</v>
      </c>
      <c r="B10" t="s">
        <v>111</v>
      </c>
      <c r="C10" s="31">
        <f>Planilha3!M8+Planilha3!M9</f>
        <v>0.21301395783840155</v>
      </c>
      <c r="D10" s="31">
        <f>C10/2</f>
        <v>0.10650697891920077</v>
      </c>
      <c r="E10">
        <f>A10*D10</f>
        <v>0.85205583135360619</v>
      </c>
    </row>
    <row r="11" spans="1:5" x14ac:dyDescent="0.25">
      <c r="A11" s="29"/>
    </row>
    <row r="12" spans="1:5" x14ac:dyDescent="0.25">
      <c r="A12" s="29"/>
      <c r="E12">
        <f>SUM(E8:E10)</f>
        <v>6.7869860421615993</v>
      </c>
    </row>
    <row r="15" spans="1:5" x14ac:dyDescent="0.25">
      <c r="A15" s="29" t="s">
        <v>109</v>
      </c>
      <c r="B15" s="27" t="s">
        <v>100</v>
      </c>
      <c r="C15" s="27" t="s">
        <v>107</v>
      </c>
      <c r="D15" s="27" t="s">
        <v>102</v>
      </c>
    </row>
    <row r="16" spans="1:5" x14ac:dyDescent="0.25">
      <c r="A16" s="29">
        <v>3</v>
      </c>
      <c r="B16" s="2" t="s">
        <v>108</v>
      </c>
    </row>
    <row r="17" spans="1:5" x14ac:dyDescent="0.25">
      <c r="A17" s="29">
        <v>4</v>
      </c>
      <c r="B17" s="2" t="s">
        <v>108</v>
      </c>
      <c r="C17" t="s">
        <v>108</v>
      </c>
    </row>
    <row r="18" spans="1:5" x14ac:dyDescent="0.25">
      <c r="A18" s="29">
        <v>5</v>
      </c>
      <c r="B18" s="2"/>
      <c r="C18" t="s">
        <v>108</v>
      </c>
      <c r="D18" t="s">
        <v>108</v>
      </c>
    </row>
    <row r="19" spans="1:5" x14ac:dyDescent="0.25">
      <c r="A19" s="29">
        <v>6</v>
      </c>
      <c r="B19" s="2"/>
      <c r="D19" t="s">
        <v>108</v>
      </c>
    </row>
    <row r="20" spans="1:5" x14ac:dyDescent="0.25">
      <c r="A20" s="29"/>
      <c r="B20" s="2"/>
    </row>
    <row r="21" spans="1:5" x14ac:dyDescent="0.25">
      <c r="A21" s="29" t="s">
        <v>123</v>
      </c>
      <c r="B21" s="2"/>
    </row>
    <row r="22" spans="1:5" x14ac:dyDescent="0.25">
      <c r="A22" s="29" t="s">
        <v>109</v>
      </c>
      <c r="B22" s="2" t="s">
        <v>110</v>
      </c>
      <c r="C22" t="s">
        <v>112</v>
      </c>
      <c r="D22" t="s">
        <v>113</v>
      </c>
    </row>
    <row r="23" spans="1:5" x14ac:dyDescent="0.25">
      <c r="A23" s="29">
        <v>3</v>
      </c>
      <c r="B23" s="2" t="s">
        <v>114</v>
      </c>
      <c r="C23" s="31">
        <v>0.10650697891920077</v>
      </c>
      <c r="D23" s="31">
        <v>5.3253489459600387E-2</v>
      </c>
      <c r="E23">
        <v>0.15976046837880115</v>
      </c>
    </row>
    <row r="24" spans="1:5" x14ac:dyDescent="0.25">
      <c r="A24" s="29">
        <v>4</v>
      </c>
      <c r="B24" s="2" t="s">
        <v>115</v>
      </c>
      <c r="C24" s="31">
        <v>0.89349302108079931</v>
      </c>
      <c r="D24" s="31">
        <v>0.44674651054039966</v>
      </c>
      <c r="E24">
        <v>1.7869860421615986</v>
      </c>
    </row>
    <row r="25" spans="1:5" x14ac:dyDescent="0.25">
      <c r="A25" s="29">
        <v>5</v>
      </c>
      <c r="B25" s="2" t="s">
        <v>116</v>
      </c>
      <c r="C25" s="31">
        <v>0.89349302108079931</v>
      </c>
      <c r="D25" s="31">
        <v>0.44674651054039966</v>
      </c>
      <c r="E25">
        <v>2.2337325527019982</v>
      </c>
    </row>
    <row r="26" spans="1:5" x14ac:dyDescent="0.25">
      <c r="A26" s="29">
        <v>6</v>
      </c>
      <c r="B26" s="2" t="s">
        <v>117</v>
      </c>
      <c r="C26" s="31">
        <v>0.10650697891920077</v>
      </c>
      <c r="D26" s="31">
        <v>5.3253489459600387E-2</v>
      </c>
      <c r="E26">
        <v>0.31952093675760229</v>
      </c>
    </row>
    <row r="27" spans="1:5" x14ac:dyDescent="0.25">
      <c r="A27" s="29"/>
      <c r="B27" s="2"/>
    </row>
    <row r="28" spans="1:5" x14ac:dyDescent="0.25">
      <c r="A28" s="29"/>
      <c r="B28" s="2"/>
      <c r="D28" s="31">
        <f>SUM(D23:D26)</f>
        <v>1</v>
      </c>
      <c r="E28">
        <v>4.5</v>
      </c>
    </row>
    <row r="30" spans="1:5" x14ac:dyDescent="0.25">
      <c r="A30" t="s">
        <v>122</v>
      </c>
    </row>
    <row r="31" spans="1:5" x14ac:dyDescent="0.25">
      <c r="A31" s="29" t="s">
        <v>109</v>
      </c>
      <c r="B31" s="2" t="s">
        <v>110</v>
      </c>
      <c r="C31" t="s">
        <v>112</v>
      </c>
      <c r="D31" t="s">
        <v>113</v>
      </c>
    </row>
    <row r="32" spans="1:5" x14ac:dyDescent="0.25">
      <c r="A32" s="29">
        <v>7</v>
      </c>
      <c r="B32" s="2" t="s">
        <v>118</v>
      </c>
      <c r="C32" s="31">
        <v>0.10650697891920077</v>
      </c>
      <c r="D32" s="31">
        <v>3.550232630640026E-2</v>
      </c>
      <c r="E32">
        <v>0.24851628414480181</v>
      </c>
    </row>
    <row r="33" spans="1:5" x14ac:dyDescent="0.25">
      <c r="A33" s="29">
        <v>8</v>
      </c>
      <c r="B33" s="2" t="s">
        <v>119</v>
      </c>
      <c r="C33" s="31">
        <v>0.89349302108079931</v>
      </c>
      <c r="D33" s="31">
        <v>0.2978310070269331</v>
      </c>
      <c r="E33">
        <v>2.3826480562154648</v>
      </c>
    </row>
    <row r="34" spans="1:5" x14ac:dyDescent="0.25">
      <c r="A34" s="29">
        <v>9</v>
      </c>
      <c r="B34" s="2" t="s">
        <v>120</v>
      </c>
      <c r="C34" s="31">
        <v>1.0126959431029168</v>
      </c>
      <c r="D34" s="31">
        <v>0.33756531436763892</v>
      </c>
      <c r="E34">
        <v>3.0380878293087505</v>
      </c>
    </row>
    <row r="35" spans="1:5" x14ac:dyDescent="0.25">
      <c r="A35" s="29">
        <v>10</v>
      </c>
      <c r="B35" s="2" t="s">
        <v>121</v>
      </c>
      <c r="C35" s="31">
        <v>0.98730405689708323</v>
      </c>
      <c r="D35" s="31">
        <v>0.32910135229902776</v>
      </c>
      <c r="E35">
        <v>3.2910135229902777</v>
      </c>
    </row>
    <row r="36" spans="1:5" x14ac:dyDescent="0.25">
      <c r="A36" s="29"/>
      <c r="B36" s="2"/>
    </row>
    <row r="37" spans="1:5" x14ac:dyDescent="0.25">
      <c r="A37" s="29"/>
      <c r="B37" s="2"/>
      <c r="E37">
        <v>8.960265692659295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1963D-C0D1-4726-99CA-CB35F0A4F290}">
  <dimension ref="A1:J37"/>
  <sheetViews>
    <sheetView zoomScale="130" zoomScaleNormal="130" workbookViewId="0">
      <selection activeCell="B13" sqref="B13"/>
    </sheetView>
  </sheetViews>
  <sheetFormatPr defaultRowHeight="15" x14ac:dyDescent="0.25"/>
  <cols>
    <col min="2" max="2" width="31" bestFit="1" customWidth="1"/>
    <col min="3" max="3" width="9.140625" hidden="1" customWidth="1"/>
    <col min="5" max="5" width="9.140625" hidden="1" customWidth="1"/>
    <col min="7" max="7" width="9.140625" hidden="1" customWidth="1"/>
    <col min="9" max="9" width="9.140625" style="32"/>
    <col min="10" max="10" width="9.140625" style="2"/>
  </cols>
  <sheetData>
    <row r="1" spans="1:10" x14ac:dyDescent="0.25">
      <c r="A1" s="37" t="s">
        <v>242</v>
      </c>
      <c r="B1" s="37" t="s">
        <v>250</v>
      </c>
      <c r="C1" s="38" t="s">
        <v>124</v>
      </c>
      <c r="D1" s="37" t="s">
        <v>125</v>
      </c>
      <c r="E1" s="38" t="s">
        <v>126</v>
      </c>
      <c r="F1" s="37" t="s">
        <v>127</v>
      </c>
      <c r="G1" s="38" t="s">
        <v>128</v>
      </c>
      <c r="H1" s="37" t="s">
        <v>129</v>
      </c>
      <c r="I1" s="43" t="s">
        <v>130</v>
      </c>
      <c r="J1" s="39" t="s">
        <v>131</v>
      </c>
    </row>
    <row r="2" spans="1:10" x14ac:dyDescent="0.25">
      <c r="A2" s="40">
        <v>36</v>
      </c>
      <c r="B2" s="40" t="str">
        <f>VLOOKUP(A2,Questions!$A:$B,2,0)</f>
        <v>Overview</v>
      </c>
      <c r="C2" s="41">
        <v>6.0100000000000001E-2</v>
      </c>
      <c r="D2" s="40">
        <v>8.2935999999999996</v>
      </c>
      <c r="E2" s="41">
        <v>6.6299999999999998E-2</v>
      </c>
      <c r="F2" s="40">
        <v>8.6268999999999991</v>
      </c>
      <c r="G2" s="41">
        <v>0.33910000000000001</v>
      </c>
      <c r="H2" s="40">
        <v>9.2935999999999996</v>
      </c>
      <c r="I2" s="34">
        <v>664.93903034182381</v>
      </c>
      <c r="J2" s="40">
        <v>1</v>
      </c>
    </row>
    <row r="3" spans="1:10" x14ac:dyDescent="0.25">
      <c r="A3" s="40">
        <v>33</v>
      </c>
      <c r="B3" s="40" t="str">
        <f>VLOOKUP(A3,Questions!$A:$B,2,0)</f>
        <v>Overview</v>
      </c>
      <c r="C3" s="41">
        <v>0.79</v>
      </c>
      <c r="D3" s="40">
        <v>9.8808000000000007</v>
      </c>
      <c r="E3" s="41">
        <v>5.9700000000000003E-2</v>
      </c>
      <c r="F3" s="40">
        <v>6.3333000000000004</v>
      </c>
      <c r="G3" s="41">
        <v>0.27179999999999999</v>
      </c>
      <c r="H3" s="40">
        <v>9.2538999999999998</v>
      </c>
      <c r="I3" s="34">
        <v>579.09120789549604</v>
      </c>
      <c r="J3" s="40">
        <v>2</v>
      </c>
    </row>
    <row r="4" spans="1:10" x14ac:dyDescent="0.25">
      <c r="A4" s="40">
        <v>30</v>
      </c>
      <c r="B4" s="40" t="str">
        <f>VLOOKUP(A4,Questions!$A:$B,2,0)</f>
        <v>Implementation and Monitoring</v>
      </c>
      <c r="C4" s="41">
        <v>8.0000000000000002E-3</v>
      </c>
      <c r="D4" s="40">
        <v>7.9603000000000002</v>
      </c>
      <c r="E4" s="41">
        <v>0.64200000000000002</v>
      </c>
      <c r="F4" s="40">
        <v>7</v>
      </c>
      <c r="G4" s="41">
        <v>0.32579999999999998</v>
      </c>
      <c r="H4" s="40">
        <v>8.6667000000000005</v>
      </c>
      <c r="I4" s="34">
        <v>482.92672406999998</v>
      </c>
      <c r="J4" s="40">
        <v>3</v>
      </c>
    </row>
    <row r="5" spans="1:10" x14ac:dyDescent="0.25">
      <c r="A5" s="40">
        <v>1</v>
      </c>
      <c r="B5" s="40" t="str">
        <f>VLOOKUP(A5,Questions!$A:$B,2,0)</f>
        <v>Business Understanding</v>
      </c>
      <c r="C5" s="41">
        <v>0.32579999999999998</v>
      </c>
      <c r="D5" s="40">
        <v>7.6666999999999996</v>
      </c>
      <c r="E5" s="41">
        <v>0.64200000000000002</v>
      </c>
      <c r="F5" s="40">
        <v>7</v>
      </c>
      <c r="G5" s="41">
        <v>0.64200000000000002</v>
      </c>
      <c r="H5" s="40">
        <v>8</v>
      </c>
      <c r="I5" s="34">
        <v>429.33519999999999</v>
      </c>
      <c r="J5" s="40">
        <v>4</v>
      </c>
    </row>
    <row r="6" spans="1:10" x14ac:dyDescent="0.25">
      <c r="A6" s="40">
        <v>34</v>
      </c>
      <c r="B6" s="40" t="str">
        <f>VLOOKUP(A6,Questions!$A:$B,2,0)</f>
        <v>Overview</v>
      </c>
      <c r="C6" s="41">
        <v>6.0100000000000001E-2</v>
      </c>
      <c r="D6" s="40">
        <v>8.2935999999999996</v>
      </c>
      <c r="E6" s="41">
        <v>0.22159999999999999</v>
      </c>
      <c r="F6" s="40">
        <v>6.3333000000000004</v>
      </c>
      <c r="G6" s="41">
        <v>5.9700000000000003E-2</v>
      </c>
      <c r="H6" s="40">
        <v>7.3333000000000004</v>
      </c>
      <c r="I6" s="34">
        <v>385.18786625810401</v>
      </c>
      <c r="J6" s="40">
        <v>5</v>
      </c>
    </row>
    <row r="7" spans="1:10" x14ac:dyDescent="0.25">
      <c r="A7" s="40">
        <v>21</v>
      </c>
      <c r="B7" s="40" t="str">
        <f>VLOOKUP(A7,Questions!$A:$B,2,0)</f>
        <v>Model Evaluation</v>
      </c>
      <c r="C7" s="41">
        <v>7.6E-3</v>
      </c>
      <c r="D7" s="40">
        <v>5</v>
      </c>
      <c r="E7" s="41">
        <v>0.18759999999999999</v>
      </c>
      <c r="F7" s="40">
        <v>9.4404000000000003</v>
      </c>
      <c r="G7" s="41">
        <v>0.11550000000000001</v>
      </c>
      <c r="H7" s="40">
        <v>8</v>
      </c>
      <c r="I7" s="34">
        <v>377.61599999999999</v>
      </c>
      <c r="J7" s="40">
        <v>6</v>
      </c>
    </row>
    <row r="8" spans="1:10" x14ac:dyDescent="0.25">
      <c r="A8" s="40">
        <v>4</v>
      </c>
      <c r="B8" s="40" t="str">
        <f>VLOOKUP(A8,Questions!$A:$B,2,0)</f>
        <v>Business Understanding</v>
      </c>
      <c r="C8" s="41">
        <v>6.0100000000000001E-2</v>
      </c>
      <c r="D8" s="40">
        <v>8.2935999999999996</v>
      </c>
      <c r="E8" s="41">
        <v>0.64200000000000002</v>
      </c>
      <c r="F8" s="40">
        <v>5</v>
      </c>
      <c r="G8" s="41">
        <v>0.1227</v>
      </c>
      <c r="H8" s="40">
        <v>8.9603000000000002</v>
      </c>
      <c r="I8" s="34">
        <v>371.56572039999998</v>
      </c>
      <c r="J8" s="40">
        <v>7</v>
      </c>
    </row>
    <row r="9" spans="1:10" x14ac:dyDescent="0.25">
      <c r="A9" s="40">
        <v>7</v>
      </c>
      <c r="B9" s="40" t="str">
        <f>VLOOKUP(A9,Questions!$A:$B,2,0)</f>
        <v>Data Understanding</v>
      </c>
      <c r="C9" s="41">
        <v>0.18759999999999999</v>
      </c>
      <c r="D9" s="40">
        <v>9.4404000000000003</v>
      </c>
      <c r="E9" s="41">
        <v>0.11550000000000001</v>
      </c>
      <c r="F9" s="40">
        <v>5</v>
      </c>
      <c r="G9" s="41">
        <v>0.1676</v>
      </c>
      <c r="H9" s="40">
        <v>7.5</v>
      </c>
      <c r="I9" s="34">
        <v>354.01499999999999</v>
      </c>
      <c r="J9" s="40">
        <v>8</v>
      </c>
    </row>
    <row r="10" spans="1:10" x14ac:dyDescent="0.25">
      <c r="A10" s="40">
        <v>5</v>
      </c>
      <c r="B10" s="40" t="str">
        <f>VLOOKUP(A10,Questions!$A:$B,2,0)</f>
        <v>Business Understanding</v>
      </c>
      <c r="C10" s="41">
        <v>0.18759999999999999</v>
      </c>
      <c r="D10" s="40">
        <v>9.4404000000000003</v>
      </c>
      <c r="E10" s="41">
        <v>1.1299999999999999E-2</v>
      </c>
      <c r="F10" s="40">
        <v>4</v>
      </c>
      <c r="G10" s="41">
        <v>1.2699999999999999E-2</v>
      </c>
      <c r="H10" s="40">
        <v>8.9404000000000003</v>
      </c>
      <c r="I10" s="34">
        <v>337.60380864000001</v>
      </c>
      <c r="J10" s="40">
        <v>9</v>
      </c>
    </row>
    <row r="11" spans="1:10" x14ac:dyDescent="0.25">
      <c r="A11" s="40">
        <v>6</v>
      </c>
      <c r="B11" s="40" t="str">
        <f>VLOOKUP(A11,Questions!$A:$B,2,0)</f>
        <v>Data Understanding</v>
      </c>
      <c r="C11" s="41">
        <v>6.0100000000000001E-2</v>
      </c>
      <c r="D11" s="40">
        <v>8.2935999999999996</v>
      </c>
      <c r="E11" s="41">
        <v>0.32579999999999998</v>
      </c>
      <c r="F11" s="40">
        <v>4.6666999999999996</v>
      </c>
      <c r="G11" s="41">
        <v>8.0000000000000002E-3</v>
      </c>
      <c r="H11" s="40">
        <v>7.9603000000000002</v>
      </c>
      <c r="I11" s="34">
        <v>308.09340635813601</v>
      </c>
      <c r="J11" s="40">
        <v>10</v>
      </c>
    </row>
    <row r="12" spans="1:10" x14ac:dyDescent="0.25">
      <c r="A12" s="40">
        <v>35</v>
      </c>
      <c r="B12" s="40" t="str">
        <f>VLOOKUP(A12,Questions!$A:$B,2,0)</f>
        <v>Overview</v>
      </c>
      <c r="C12" s="41">
        <v>0.64200000000000002</v>
      </c>
      <c r="D12" s="40">
        <v>5</v>
      </c>
      <c r="E12" s="41">
        <v>1.1299999999999999E-2</v>
      </c>
      <c r="F12" s="40">
        <v>7</v>
      </c>
      <c r="G12" s="41">
        <v>0.32579999999999998</v>
      </c>
      <c r="H12" s="40">
        <v>8.3332999999999995</v>
      </c>
      <c r="I12" s="34">
        <v>291.66550000000001</v>
      </c>
      <c r="J12" s="40">
        <v>11</v>
      </c>
    </row>
    <row r="13" spans="1:10" x14ac:dyDescent="0.25">
      <c r="A13" s="40">
        <v>32</v>
      </c>
      <c r="B13" s="40" t="str">
        <f>VLOOKUP(A13,Questions!$A:$B,2,0)</f>
        <v>Overview</v>
      </c>
      <c r="C13" s="41">
        <v>0.1676</v>
      </c>
      <c r="D13" s="40">
        <v>6.5</v>
      </c>
      <c r="E13" s="41">
        <v>5.9700000000000003E-2</v>
      </c>
      <c r="F13" s="40">
        <v>5.6666999999999996</v>
      </c>
      <c r="G13" s="41">
        <v>0.1676</v>
      </c>
      <c r="H13" s="40">
        <v>7.5</v>
      </c>
      <c r="I13" s="34">
        <v>276.25162499999999</v>
      </c>
      <c r="J13" s="40">
        <v>12</v>
      </c>
    </row>
    <row r="14" spans="1:10" x14ac:dyDescent="0.25">
      <c r="A14" s="40">
        <v>13</v>
      </c>
      <c r="B14" s="40" t="str">
        <f>VLOOKUP(A14,Questions!$A:$B,2,0)</f>
        <v>Data Preparation</v>
      </c>
      <c r="C14" s="41">
        <v>0.32579999999999998</v>
      </c>
      <c r="D14" s="40">
        <v>8.6667000000000005</v>
      </c>
      <c r="E14" s="41">
        <v>0.32579999999999998</v>
      </c>
      <c r="F14" s="40">
        <v>4.3333000000000004</v>
      </c>
      <c r="G14" s="41">
        <v>0.32579999999999998</v>
      </c>
      <c r="H14" s="40">
        <v>7.3333000000000004</v>
      </c>
      <c r="I14" s="34">
        <v>275.40509629296309</v>
      </c>
      <c r="J14" s="40">
        <v>13</v>
      </c>
    </row>
    <row r="15" spans="1:10" x14ac:dyDescent="0.25">
      <c r="A15" s="40">
        <v>2</v>
      </c>
      <c r="B15" s="40" t="str">
        <f>VLOOKUP(A15,Questions!$A:$B,2,0)</f>
        <v>Business Understanding</v>
      </c>
      <c r="C15" s="41">
        <v>0.27179999999999999</v>
      </c>
      <c r="D15" s="40">
        <v>9.2538999999999998</v>
      </c>
      <c r="E15" s="41">
        <v>0.11550000000000001</v>
      </c>
      <c r="F15" s="40">
        <v>4</v>
      </c>
      <c r="G15" s="41">
        <v>5.9700000000000003E-2</v>
      </c>
      <c r="H15" s="40">
        <v>7.3333000000000004</v>
      </c>
      <c r="I15" s="34">
        <v>271.44649948</v>
      </c>
      <c r="J15" s="40">
        <v>14</v>
      </c>
    </row>
    <row r="16" spans="1:10" x14ac:dyDescent="0.25">
      <c r="A16" s="40">
        <v>16</v>
      </c>
      <c r="B16" s="40" t="str">
        <f>VLOOKUP(A16,Questions!$A:$B,2,0)</f>
        <v>Modeling</v>
      </c>
      <c r="C16" s="41">
        <v>5.9700000000000003E-2</v>
      </c>
      <c r="D16" s="40">
        <v>3.6667000000000001</v>
      </c>
      <c r="E16" s="41">
        <v>0.18759999999999999</v>
      </c>
      <c r="F16" s="40">
        <v>9.4404000000000003</v>
      </c>
      <c r="G16" s="41">
        <v>5.9700000000000003E-2</v>
      </c>
      <c r="H16" s="40">
        <v>7.6666999999999996</v>
      </c>
      <c r="I16" s="34">
        <v>265.38369971715599</v>
      </c>
      <c r="J16" s="40">
        <v>15</v>
      </c>
    </row>
    <row r="17" spans="1:10" x14ac:dyDescent="0.25">
      <c r="A17" s="40">
        <v>31</v>
      </c>
      <c r="B17" s="40" t="str">
        <f>VLOOKUP(A17,Questions!$A:$B,2,0)</f>
        <v>Overview</v>
      </c>
      <c r="C17" s="41">
        <v>0.1676</v>
      </c>
      <c r="D17" s="40">
        <v>5.5</v>
      </c>
      <c r="E17" s="41">
        <v>0.64200000000000002</v>
      </c>
      <c r="F17" s="40">
        <v>6</v>
      </c>
      <c r="G17" s="41">
        <v>8.0000000000000002E-3</v>
      </c>
      <c r="H17" s="40">
        <v>7.9603000000000002</v>
      </c>
      <c r="I17" s="34">
        <v>262.68990000000002</v>
      </c>
      <c r="J17" s="40">
        <v>16</v>
      </c>
    </row>
    <row r="18" spans="1:10" x14ac:dyDescent="0.25">
      <c r="A18" s="40">
        <v>18</v>
      </c>
      <c r="B18" s="40" t="str">
        <f>VLOOKUP(A18,Questions!$A:$B,2,0)</f>
        <v>Modeling</v>
      </c>
      <c r="C18" s="41">
        <v>5.9700000000000003E-2</v>
      </c>
      <c r="D18" s="40">
        <v>5.3333000000000004</v>
      </c>
      <c r="E18" s="41">
        <v>0.32579999999999998</v>
      </c>
      <c r="F18" s="40">
        <v>5.6666999999999996</v>
      </c>
      <c r="G18" s="41">
        <v>0.22159999999999999</v>
      </c>
      <c r="H18" s="40">
        <v>8.3332999999999995</v>
      </c>
      <c r="I18" s="34">
        <v>251.85075184296301</v>
      </c>
      <c r="J18" s="40">
        <v>17</v>
      </c>
    </row>
    <row r="19" spans="1:10" x14ac:dyDescent="0.25">
      <c r="A19" s="40">
        <v>10</v>
      </c>
      <c r="B19" s="40" t="str">
        <f>VLOOKUP(A19,Questions!$A:$B,2,0)</f>
        <v>Data Understanding</v>
      </c>
      <c r="C19" s="41">
        <v>0.11550000000000001</v>
      </c>
      <c r="D19" s="40">
        <v>7</v>
      </c>
      <c r="E19" s="41">
        <v>0.1676</v>
      </c>
      <c r="F19" s="40">
        <v>5.5</v>
      </c>
      <c r="G19" s="41">
        <v>0.22159999999999999</v>
      </c>
      <c r="H19" s="40">
        <v>6.3333000000000004</v>
      </c>
      <c r="I19" s="34">
        <v>243.83205000000001</v>
      </c>
      <c r="J19" s="40">
        <v>18</v>
      </c>
    </row>
    <row r="20" spans="1:10" x14ac:dyDescent="0.25">
      <c r="A20" s="40">
        <v>3</v>
      </c>
      <c r="B20" s="40" t="str">
        <f>VLOOKUP(A20,Questions!$A:$B,2,0)</f>
        <v>Business Understanding</v>
      </c>
      <c r="C20" s="41">
        <v>0.2225</v>
      </c>
      <c r="D20" s="40">
        <v>8.6268999999999991</v>
      </c>
      <c r="E20" s="41">
        <v>0.32579999999999998</v>
      </c>
      <c r="F20" s="40">
        <v>5.6666999999999996</v>
      </c>
      <c r="G20" s="41">
        <v>0.1676</v>
      </c>
      <c r="H20" s="40">
        <v>4.5</v>
      </c>
      <c r="I20" s="34">
        <v>219.987244035</v>
      </c>
      <c r="J20" s="40">
        <v>19</v>
      </c>
    </row>
    <row r="21" spans="1:10" x14ac:dyDescent="0.25">
      <c r="A21" s="40">
        <v>11</v>
      </c>
      <c r="B21" s="40" t="str">
        <f>VLOOKUP(A21,Questions!$A:$B,2,0)</f>
        <v>Data Preparation</v>
      </c>
      <c r="C21" s="41">
        <v>0.1676</v>
      </c>
      <c r="D21" s="40">
        <v>4.5</v>
      </c>
      <c r="E21" s="41">
        <v>0.64200000000000002</v>
      </c>
      <c r="F21" s="40">
        <v>6</v>
      </c>
      <c r="G21" s="41">
        <v>0.32579999999999998</v>
      </c>
      <c r="H21" s="40">
        <v>6.3333000000000004</v>
      </c>
      <c r="I21" s="34">
        <v>170.9991</v>
      </c>
      <c r="J21" s="40">
        <v>20</v>
      </c>
    </row>
    <row r="22" spans="1:10" x14ac:dyDescent="0.25">
      <c r="A22" s="40">
        <v>27</v>
      </c>
      <c r="B22" s="40" t="str">
        <f>VLOOKUP(A22,Questions!$A:$B,2,0)</f>
        <v>Implementation and Monitoring</v>
      </c>
      <c r="C22" s="41">
        <v>8.0000000000000002E-3</v>
      </c>
      <c r="D22" s="40">
        <v>7.9603000000000002</v>
      </c>
      <c r="E22" s="41">
        <v>6.0100000000000001E-2</v>
      </c>
      <c r="F22" s="40">
        <v>2.7063999999999999</v>
      </c>
      <c r="G22" s="41">
        <v>5.9700000000000003E-2</v>
      </c>
      <c r="H22" s="40">
        <v>7.3333000000000004</v>
      </c>
      <c r="I22" s="34">
        <v>157.986825288136</v>
      </c>
      <c r="J22" s="40">
        <v>21</v>
      </c>
    </row>
    <row r="23" spans="1:10" x14ac:dyDescent="0.25">
      <c r="A23" s="40">
        <v>14</v>
      </c>
      <c r="B23" s="40" t="str">
        <f>VLOOKUP(A23,Questions!$A:$B,2,0)</f>
        <v>Data Preparation</v>
      </c>
      <c r="C23" s="41">
        <v>0.1676</v>
      </c>
      <c r="D23" s="40">
        <v>8.5</v>
      </c>
      <c r="E23" s="41">
        <v>6.6299999999999998E-2</v>
      </c>
      <c r="F23" s="40">
        <v>2.3731</v>
      </c>
      <c r="G23" s="41">
        <v>5.9700000000000003E-2</v>
      </c>
      <c r="H23" s="40">
        <v>7.6666999999999996</v>
      </c>
      <c r="I23" s="34">
        <v>154.64768904499999</v>
      </c>
      <c r="J23" s="40">
        <v>22</v>
      </c>
    </row>
    <row r="24" spans="1:10" x14ac:dyDescent="0.25">
      <c r="A24" s="40">
        <v>28</v>
      </c>
      <c r="B24" s="40" t="str">
        <f>VLOOKUP(A24,Questions!$A:$B,2,0)</f>
        <v>Implementation and Monitoring</v>
      </c>
      <c r="C24" s="41">
        <v>1.2699999999999999E-2</v>
      </c>
      <c r="D24" s="40">
        <v>8.9404000000000003</v>
      </c>
      <c r="E24" s="41">
        <v>6.0100000000000001E-2</v>
      </c>
      <c r="F24" s="40">
        <v>2.7063999999999999</v>
      </c>
      <c r="G24" s="41">
        <v>0.32579999999999998</v>
      </c>
      <c r="H24" s="40">
        <v>6.3333000000000004</v>
      </c>
      <c r="I24" s="34">
        <v>153.24241767004801</v>
      </c>
      <c r="J24" s="40">
        <v>23</v>
      </c>
    </row>
    <row r="25" spans="1:10" x14ac:dyDescent="0.25">
      <c r="A25" s="40">
        <v>12</v>
      </c>
      <c r="B25" s="40" t="str">
        <f>VLOOKUP(A25,Questions!$A:$B,2,0)</f>
        <v>Data Preparation</v>
      </c>
      <c r="C25" s="41">
        <v>1.1299999999999999E-2</v>
      </c>
      <c r="D25" s="40">
        <v>4</v>
      </c>
      <c r="E25" s="41">
        <v>0.11550000000000001</v>
      </c>
      <c r="F25" s="40">
        <v>6</v>
      </c>
      <c r="G25" s="41">
        <v>0.32579999999999998</v>
      </c>
      <c r="H25" s="40">
        <v>6.3333000000000004</v>
      </c>
      <c r="I25" s="34">
        <v>151.9992</v>
      </c>
      <c r="J25" s="40">
        <v>24</v>
      </c>
    </row>
    <row r="26" spans="1:10" x14ac:dyDescent="0.25">
      <c r="A26" s="40">
        <v>19</v>
      </c>
      <c r="B26" s="40" t="str">
        <f>VLOOKUP(A26,Questions!$A:$B,2,0)</f>
        <v>Modeling</v>
      </c>
      <c r="C26" s="41">
        <v>5.9700000000000003E-2</v>
      </c>
      <c r="D26" s="40">
        <v>3.6667000000000001</v>
      </c>
      <c r="E26" s="41">
        <v>0.64200000000000002</v>
      </c>
      <c r="F26" s="40">
        <v>5</v>
      </c>
      <c r="G26" s="41">
        <v>0.64200000000000002</v>
      </c>
      <c r="H26" s="40">
        <v>8</v>
      </c>
      <c r="I26" s="34">
        <v>146.66800000000001</v>
      </c>
      <c r="J26" s="40">
        <v>25</v>
      </c>
    </row>
    <row r="27" spans="1:10" x14ac:dyDescent="0.25">
      <c r="A27" s="40">
        <v>8</v>
      </c>
      <c r="B27" s="40" t="str">
        <f>VLOOKUP(A27,Questions!$A:$B,2,0)</f>
        <v>Data Understanding</v>
      </c>
      <c r="C27" s="41">
        <v>5.9700000000000003E-2</v>
      </c>
      <c r="D27" s="40">
        <v>6.6666999999999996</v>
      </c>
      <c r="E27" s="41">
        <v>0.1676</v>
      </c>
      <c r="F27" s="40">
        <v>3.5</v>
      </c>
      <c r="G27" s="41">
        <v>0.64200000000000002</v>
      </c>
      <c r="H27" s="40">
        <v>6</v>
      </c>
      <c r="I27" s="34">
        <v>140.00069999999999</v>
      </c>
      <c r="J27" s="40">
        <v>26</v>
      </c>
    </row>
    <row r="28" spans="1:10" x14ac:dyDescent="0.25">
      <c r="A28" s="40">
        <v>15</v>
      </c>
      <c r="B28" s="40" t="str">
        <f>VLOOKUP(A28,Questions!$A:$B,2,0)</f>
        <v>Data Preparation</v>
      </c>
      <c r="C28" s="41">
        <v>0.11550000000000001</v>
      </c>
      <c r="D28" s="40">
        <v>7</v>
      </c>
      <c r="E28" s="41">
        <v>6.0100000000000001E-2</v>
      </c>
      <c r="F28" s="40">
        <v>2.7063999999999999</v>
      </c>
      <c r="G28" s="41">
        <v>0.32579999999999998</v>
      </c>
      <c r="H28" s="40">
        <v>7.3333000000000004</v>
      </c>
      <c r="I28" s="34">
        <v>138.92790184</v>
      </c>
      <c r="J28" s="40">
        <v>27</v>
      </c>
    </row>
    <row r="29" spans="1:10" x14ac:dyDescent="0.25">
      <c r="A29" s="2">
        <v>26</v>
      </c>
      <c r="B29" s="2" t="str">
        <f>VLOOKUP(A29,Questions!$A:$B,2,0)</f>
        <v>Implementation and Monitoring</v>
      </c>
      <c r="C29" s="36">
        <v>0.32579999999999998</v>
      </c>
      <c r="D29" s="2">
        <v>6.6666999999999996</v>
      </c>
      <c r="E29" s="36">
        <v>0.32579999999999998</v>
      </c>
      <c r="F29" s="2">
        <v>2.6667000000000001</v>
      </c>
      <c r="G29" s="36">
        <v>0.64200000000000002</v>
      </c>
      <c r="H29" s="2">
        <v>6</v>
      </c>
      <c r="I29" s="34">
        <v>106.66853334</v>
      </c>
      <c r="J29" s="2">
        <v>28</v>
      </c>
    </row>
    <row r="30" spans="1:10" x14ac:dyDescent="0.25">
      <c r="A30" s="2">
        <v>29</v>
      </c>
      <c r="B30" s="2" t="str">
        <f>VLOOKUP(A30,Questions!$A:$B,2,0)</f>
        <v>Implementation and Monitoring</v>
      </c>
      <c r="C30" s="36">
        <v>0.18759999999999999</v>
      </c>
      <c r="D30" s="2">
        <v>9.4404000000000003</v>
      </c>
      <c r="E30" s="36">
        <v>0.18759999999999999</v>
      </c>
      <c r="F30" s="2">
        <v>1.5596000000000001</v>
      </c>
      <c r="G30" s="36">
        <v>0.11550000000000001</v>
      </c>
      <c r="H30" s="2">
        <v>7</v>
      </c>
      <c r="I30" s="34">
        <v>103.06273487999999</v>
      </c>
      <c r="J30" s="2">
        <v>29</v>
      </c>
    </row>
    <row r="31" spans="1:10" x14ac:dyDescent="0.25">
      <c r="A31" s="2">
        <v>25</v>
      </c>
      <c r="B31" s="2" t="str">
        <f>VLOOKUP(A31,Questions!$A:$B,2,0)</f>
        <v>Model Evaluation</v>
      </c>
      <c r="C31" s="36">
        <v>0.1676</v>
      </c>
      <c r="D31" s="2">
        <v>2.5</v>
      </c>
      <c r="E31" s="36">
        <v>1.1299999999999999E-2</v>
      </c>
      <c r="F31" s="2">
        <v>6</v>
      </c>
      <c r="G31" s="36">
        <v>0.64200000000000002</v>
      </c>
      <c r="H31" s="2">
        <v>4</v>
      </c>
      <c r="I31" s="34">
        <v>60</v>
      </c>
      <c r="J31" s="2">
        <v>30</v>
      </c>
    </row>
    <row r="32" spans="1:10" x14ac:dyDescent="0.25">
      <c r="A32" s="2">
        <v>9</v>
      </c>
      <c r="B32" s="2" t="str">
        <f>VLOOKUP(A32,Questions!$A:$B,2,0)</f>
        <v>Data Understanding</v>
      </c>
      <c r="C32" s="36">
        <v>0.33910000000000001</v>
      </c>
      <c r="D32" s="2">
        <v>9.2935999999999996</v>
      </c>
      <c r="E32" s="36">
        <v>0.79</v>
      </c>
      <c r="F32" s="2">
        <v>1.1192</v>
      </c>
      <c r="G32" s="36">
        <v>5.9700000000000003E-2</v>
      </c>
      <c r="H32" s="2">
        <v>5.6666999999999996</v>
      </c>
      <c r="I32" s="34">
        <v>58.941597059903991</v>
      </c>
      <c r="J32" s="2">
        <v>31</v>
      </c>
    </row>
    <row r="33" spans="1:10" x14ac:dyDescent="0.25">
      <c r="A33" s="2">
        <v>17</v>
      </c>
      <c r="B33" s="2" t="str">
        <f>VLOOKUP(A33,Questions!$A:$B,2,0)</f>
        <v>Modeling</v>
      </c>
      <c r="C33" s="36">
        <v>0.64200000000000002</v>
      </c>
      <c r="D33" s="2">
        <v>2</v>
      </c>
      <c r="E33" s="36">
        <v>0.22159999999999999</v>
      </c>
      <c r="F33" s="2">
        <v>3.6667000000000001</v>
      </c>
      <c r="G33" s="36">
        <v>0.11550000000000001</v>
      </c>
      <c r="H33" s="2">
        <v>8</v>
      </c>
      <c r="I33" s="34">
        <v>58.667200000000001</v>
      </c>
      <c r="J33" s="2">
        <v>32</v>
      </c>
    </row>
    <row r="34" spans="1:10" x14ac:dyDescent="0.25">
      <c r="A34" s="2">
        <v>20</v>
      </c>
      <c r="B34" s="2" t="str">
        <f>VLOOKUP(A34,Questions!$A:$B,2,0)</f>
        <v>Modeling</v>
      </c>
      <c r="C34" s="36">
        <v>0.79</v>
      </c>
      <c r="D34" s="2">
        <v>1.1192</v>
      </c>
      <c r="E34" s="36">
        <v>0.1676</v>
      </c>
      <c r="F34" s="2">
        <v>4.5</v>
      </c>
      <c r="G34" s="36">
        <v>0.32579999999999998</v>
      </c>
      <c r="H34" s="2">
        <v>7.6666999999999996</v>
      </c>
      <c r="I34" s="34">
        <v>38.612567879999993</v>
      </c>
      <c r="J34" s="2">
        <v>33</v>
      </c>
    </row>
    <row r="35" spans="1:10" x14ac:dyDescent="0.25">
      <c r="A35" s="2">
        <v>24</v>
      </c>
      <c r="B35" s="2" t="str">
        <f>VLOOKUP(A35,Questions!$A:$B,2,0)</f>
        <v>Model Evaluation</v>
      </c>
      <c r="C35" s="36">
        <v>0.64200000000000002</v>
      </c>
      <c r="D35" s="2">
        <v>3</v>
      </c>
      <c r="E35" s="36">
        <v>0.18759999999999999</v>
      </c>
      <c r="F35" s="2">
        <v>1.5596000000000001</v>
      </c>
      <c r="G35" s="36">
        <v>5.9700000000000003E-2</v>
      </c>
      <c r="H35" s="2">
        <v>7.3333000000000004</v>
      </c>
      <c r="I35" s="34">
        <v>34.311044040000013</v>
      </c>
      <c r="J35" s="2">
        <v>34</v>
      </c>
    </row>
    <row r="36" spans="1:10" x14ac:dyDescent="0.25">
      <c r="A36" s="2">
        <v>23</v>
      </c>
      <c r="B36" s="2" t="str">
        <f>VLOOKUP(A36,Questions!$A:$B,2,0)</f>
        <v>Model Evaluation</v>
      </c>
      <c r="C36" s="36">
        <v>0.64200000000000002</v>
      </c>
      <c r="D36" s="2">
        <v>3</v>
      </c>
      <c r="E36" s="36">
        <v>0.79</v>
      </c>
      <c r="F36" s="2">
        <v>1.1192</v>
      </c>
      <c r="G36" s="36">
        <v>0.1227</v>
      </c>
      <c r="H36" s="2">
        <v>8.9603000000000002</v>
      </c>
      <c r="I36" s="34">
        <v>30.085103279999998</v>
      </c>
      <c r="J36" s="2">
        <v>35</v>
      </c>
    </row>
    <row r="37" spans="1:10" x14ac:dyDescent="0.25">
      <c r="A37" s="2">
        <v>22</v>
      </c>
      <c r="B37" s="2" t="str">
        <f>VLOOKUP(A37,Questions!$A:$B,2,0)</f>
        <v>Model Evaluation</v>
      </c>
      <c r="C37" s="36">
        <v>6.0100000000000001E-2</v>
      </c>
      <c r="D37" s="2">
        <v>8.2935999999999996</v>
      </c>
      <c r="E37" s="36"/>
      <c r="F37" s="2"/>
      <c r="G37" s="36">
        <v>0.32579999999999998</v>
      </c>
      <c r="H37" s="2">
        <v>7.6666999999999996</v>
      </c>
      <c r="I37" s="34"/>
      <c r="J37" s="2">
        <v>36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95E1B-2A80-4714-ADA0-DD05035BFF80}">
  <sheetPr filterMode="1"/>
  <dimension ref="A4:S295"/>
  <sheetViews>
    <sheetView workbookViewId="0">
      <selection activeCell="A10" sqref="A10"/>
    </sheetView>
  </sheetViews>
  <sheetFormatPr defaultRowHeight="15" x14ac:dyDescent="0.25"/>
  <cols>
    <col min="1" max="1" width="11.85546875" bestFit="1" customWidth="1"/>
    <col min="2" max="2" width="16.42578125" bestFit="1" customWidth="1"/>
    <col min="3" max="3" width="9.42578125" bestFit="1" customWidth="1"/>
    <col min="4" max="4" width="9.85546875" bestFit="1" customWidth="1"/>
    <col min="5" max="5" width="8" bestFit="1" customWidth="1"/>
    <col min="6" max="6" width="6.28515625" bestFit="1" customWidth="1"/>
    <col min="7" max="7" width="8.28515625" bestFit="1" customWidth="1"/>
    <col min="8" max="8" width="11.5703125" hidden="1" customWidth="1"/>
    <col min="9" max="9" width="8.5703125" hidden="1" customWidth="1"/>
    <col min="10" max="10" width="11.85546875" hidden="1" customWidth="1"/>
    <col min="11" max="11" width="11.5703125" bestFit="1" customWidth="1"/>
    <col min="12" max="12" width="8.5703125" bestFit="1" customWidth="1"/>
    <col min="13" max="13" width="11.85546875" bestFit="1" customWidth="1"/>
    <col min="15" max="15" width="9.140625" style="29"/>
    <col min="16" max="16" width="15.5703125" style="2" bestFit="1" customWidth="1"/>
  </cols>
  <sheetData>
    <row r="4" spans="1:18" x14ac:dyDescent="0.25">
      <c r="A4" s="25" t="s">
        <v>242</v>
      </c>
      <c r="B4" s="25" t="s">
        <v>243</v>
      </c>
      <c r="C4" s="25" t="s">
        <v>244</v>
      </c>
      <c r="D4" s="26" t="s">
        <v>249</v>
      </c>
      <c r="E4" s="25" t="s">
        <v>97</v>
      </c>
      <c r="F4" s="25" t="s">
        <v>98</v>
      </c>
      <c r="G4" s="25" t="s">
        <v>99</v>
      </c>
      <c r="H4" s="27" t="s">
        <v>100</v>
      </c>
      <c r="I4" s="27" t="s">
        <v>101</v>
      </c>
      <c r="J4" s="27" t="s">
        <v>102</v>
      </c>
      <c r="K4" s="27" t="s">
        <v>100</v>
      </c>
      <c r="L4" s="27" t="s">
        <v>107</v>
      </c>
      <c r="M4" s="27" t="s">
        <v>102</v>
      </c>
      <c r="O4" s="29" t="s">
        <v>109</v>
      </c>
      <c r="P4" s="27" t="s">
        <v>100</v>
      </c>
      <c r="Q4" s="27" t="s">
        <v>107</v>
      </c>
      <c r="R4" s="27" t="s">
        <v>102</v>
      </c>
    </row>
    <row r="5" spans="1:18" hidden="1" x14ac:dyDescent="0.25">
      <c r="A5" s="17">
        <v>1</v>
      </c>
      <c r="B5" s="17">
        <v>1</v>
      </c>
      <c r="C5" s="17" t="s">
        <v>94</v>
      </c>
      <c r="D5" s="21">
        <v>8</v>
      </c>
      <c r="E5" s="17">
        <v>7</v>
      </c>
      <c r="F5" s="17">
        <v>8</v>
      </c>
      <c r="G5" s="17">
        <v>9</v>
      </c>
      <c r="H5" s="15">
        <v>0.10798193302637613</v>
      </c>
      <c r="I5" s="15">
        <v>0.79788456080286541</v>
      </c>
      <c r="J5" s="15">
        <v>0.10798193302637613</v>
      </c>
      <c r="K5" s="15">
        <v>0.10650697891920077</v>
      </c>
      <c r="L5" s="15">
        <v>0.78698604216159851</v>
      </c>
      <c r="M5" s="15">
        <v>0.10650697891920077</v>
      </c>
      <c r="P5"/>
    </row>
    <row r="6" spans="1:18" hidden="1" x14ac:dyDescent="0.25">
      <c r="A6" s="17">
        <v>1</v>
      </c>
      <c r="B6" s="17">
        <v>2</v>
      </c>
      <c r="C6" s="17" t="s">
        <v>94</v>
      </c>
      <c r="D6" s="21">
        <v>7</v>
      </c>
      <c r="E6" s="17">
        <v>6</v>
      </c>
      <c r="F6" s="17">
        <v>7</v>
      </c>
      <c r="G6" s="17">
        <v>8</v>
      </c>
      <c r="H6" s="15">
        <v>0.10798193302637613</v>
      </c>
      <c r="I6" s="15">
        <v>0.79788456080286541</v>
      </c>
      <c r="J6" s="15">
        <v>0.10798193302637613</v>
      </c>
      <c r="K6" s="15">
        <v>0.10650697891920077</v>
      </c>
      <c r="L6" s="15">
        <v>0.78698604216159851</v>
      </c>
      <c r="M6" s="15">
        <v>0.10650697891920077</v>
      </c>
      <c r="P6"/>
    </row>
    <row r="7" spans="1:18" hidden="1" x14ac:dyDescent="0.25">
      <c r="A7" s="17">
        <v>1</v>
      </c>
      <c r="B7" s="17">
        <v>3</v>
      </c>
      <c r="C7" s="17" t="s">
        <v>94</v>
      </c>
      <c r="D7" s="21">
        <v>8</v>
      </c>
      <c r="E7" s="17">
        <v>7</v>
      </c>
      <c r="F7" s="17">
        <v>8</v>
      </c>
      <c r="G7" s="17">
        <v>9</v>
      </c>
      <c r="H7" s="15">
        <v>0.10798193302637613</v>
      </c>
      <c r="I7" s="15">
        <v>0.79788456080286541</v>
      </c>
      <c r="J7" s="15">
        <v>0.10798193302637613</v>
      </c>
      <c r="K7" s="15">
        <v>0.10650697891920077</v>
      </c>
      <c r="L7" s="15">
        <v>0.78698604216159851</v>
      </c>
      <c r="M7" s="15">
        <v>0.10650697891920077</v>
      </c>
      <c r="P7"/>
    </row>
    <row r="8" spans="1:18" hidden="1" x14ac:dyDescent="0.25">
      <c r="A8" s="2">
        <v>1</v>
      </c>
      <c r="B8" s="2">
        <v>1</v>
      </c>
      <c r="C8" s="2" t="s">
        <v>95</v>
      </c>
      <c r="D8" s="22">
        <v>7</v>
      </c>
      <c r="E8" s="2">
        <v>6</v>
      </c>
      <c r="F8" s="2">
        <v>7</v>
      </c>
      <c r="G8" s="2">
        <v>8</v>
      </c>
      <c r="H8" s="16">
        <v>0.10798193302637613</v>
      </c>
      <c r="I8" s="16">
        <v>0.79788456080286541</v>
      </c>
      <c r="J8" s="16">
        <v>0.10798193302637613</v>
      </c>
      <c r="K8" s="16">
        <v>0.10650697891920077</v>
      </c>
      <c r="L8" s="16">
        <v>0.78698604216159851</v>
      </c>
      <c r="M8" s="16">
        <v>0.10650697891920077</v>
      </c>
      <c r="P8"/>
    </row>
    <row r="9" spans="1:18" hidden="1" x14ac:dyDescent="0.25">
      <c r="A9" s="2">
        <v>1</v>
      </c>
      <c r="B9" s="2">
        <v>2</v>
      </c>
      <c r="C9" s="2" t="s">
        <v>95</v>
      </c>
      <c r="D9" s="22">
        <v>7</v>
      </c>
      <c r="E9" s="2">
        <v>6</v>
      </c>
      <c r="F9" s="2">
        <v>7</v>
      </c>
      <c r="G9" s="2">
        <v>8</v>
      </c>
      <c r="H9" s="16">
        <v>0.10798193302637613</v>
      </c>
      <c r="I9" s="16">
        <v>0.79788456080286541</v>
      </c>
      <c r="J9" s="16">
        <v>0.10798193302637613</v>
      </c>
      <c r="K9" s="16">
        <v>0.10650697891920077</v>
      </c>
      <c r="L9" s="16">
        <v>0.78698604216159851</v>
      </c>
      <c r="M9" s="16">
        <v>0.10650697891920077</v>
      </c>
      <c r="P9"/>
    </row>
    <row r="10" spans="1:18" x14ac:dyDescent="0.25">
      <c r="A10" s="17">
        <v>1</v>
      </c>
      <c r="B10" s="17">
        <v>1</v>
      </c>
      <c r="C10" s="17" t="s">
        <v>96</v>
      </c>
      <c r="D10" s="21">
        <v>8</v>
      </c>
      <c r="E10" s="17">
        <v>7</v>
      </c>
      <c r="F10" s="17">
        <v>8</v>
      </c>
      <c r="G10" s="17">
        <v>9</v>
      </c>
      <c r="H10" s="15">
        <v>0.10798193302637613</v>
      </c>
      <c r="I10" s="15">
        <v>0.79788456080286541</v>
      </c>
      <c r="J10" s="15">
        <v>0.10798193302637613</v>
      </c>
      <c r="K10" s="15">
        <v>0.10650697891920077</v>
      </c>
      <c r="L10" s="15">
        <v>0.78698604216159851</v>
      </c>
      <c r="M10" s="15">
        <v>0.10650697891920077</v>
      </c>
      <c r="P10"/>
    </row>
    <row r="11" spans="1:18" x14ac:dyDescent="0.25">
      <c r="A11" s="17">
        <v>1</v>
      </c>
      <c r="B11" s="17">
        <v>2</v>
      </c>
      <c r="C11" s="17" t="s">
        <v>96</v>
      </c>
      <c r="D11" s="21">
        <v>8</v>
      </c>
      <c r="E11" s="17">
        <v>7</v>
      </c>
      <c r="F11" s="17">
        <v>8</v>
      </c>
      <c r="G11" s="17">
        <v>9</v>
      </c>
      <c r="H11" s="15">
        <v>0.10798193302637613</v>
      </c>
      <c r="I11" s="15">
        <v>0.79788456080286541</v>
      </c>
      <c r="J11" s="15">
        <v>0.10798193302637613</v>
      </c>
      <c r="K11" s="15">
        <v>0.10650697891920077</v>
      </c>
      <c r="L11" s="15">
        <v>0.78698604216159851</v>
      </c>
      <c r="M11" s="15">
        <v>0.10650697891920077</v>
      </c>
      <c r="P11"/>
    </row>
    <row r="12" spans="1:18" x14ac:dyDescent="0.25">
      <c r="A12" s="17">
        <v>1</v>
      </c>
      <c r="B12" s="17">
        <v>3</v>
      </c>
      <c r="C12" s="17" t="s">
        <v>96</v>
      </c>
      <c r="D12" s="21">
        <v>8</v>
      </c>
      <c r="E12" s="17">
        <v>7</v>
      </c>
      <c r="F12" s="17">
        <v>8</v>
      </c>
      <c r="G12" s="17">
        <v>9</v>
      </c>
      <c r="H12" s="15">
        <v>0.10798193302637613</v>
      </c>
      <c r="I12" s="15">
        <v>0.79788456080286541</v>
      </c>
      <c r="J12" s="15">
        <v>0.10798193302637613</v>
      </c>
      <c r="K12" s="15">
        <v>0.10650697891920077</v>
      </c>
      <c r="L12" s="15">
        <v>0.78698604216159851</v>
      </c>
      <c r="M12" s="15">
        <v>0.10650697891920077</v>
      </c>
      <c r="P12"/>
    </row>
    <row r="13" spans="1:18" hidden="1" x14ac:dyDescent="0.25">
      <c r="A13" s="2">
        <v>2</v>
      </c>
      <c r="B13" s="2">
        <v>1</v>
      </c>
      <c r="C13" s="2" t="s">
        <v>94</v>
      </c>
      <c r="D13" s="22">
        <v>10</v>
      </c>
      <c r="E13" s="2">
        <v>9</v>
      </c>
      <c r="F13" s="2">
        <v>10</v>
      </c>
      <c r="G13" s="2" t="s">
        <v>106</v>
      </c>
      <c r="H13" s="16">
        <v>0.10798193302637613</v>
      </c>
      <c r="I13" s="16">
        <v>0.79788456080286541</v>
      </c>
      <c r="J13" s="16" t="s">
        <v>106</v>
      </c>
      <c r="K13" s="16">
        <v>0.11920292202211756</v>
      </c>
      <c r="L13" s="16">
        <v>0.88079707797788243</v>
      </c>
      <c r="M13" s="16" t="s">
        <v>106</v>
      </c>
      <c r="P13"/>
    </row>
    <row r="14" spans="1:18" hidden="1" x14ac:dyDescent="0.25">
      <c r="A14" s="2">
        <v>2</v>
      </c>
      <c r="B14" s="2">
        <v>2</v>
      </c>
      <c r="C14" s="2" t="s">
        <v>94</v>
      </c>
      <c r="D14" s="22">
        <v>10</v>
      </c>
      <c r="E14" s="2">
        <v>9</v>
      </c>
      <c r="F14" s="2">
        <v>10</v>
      </c>
      <c r="G14" s="2" t="s">
        <v>106</v>
      </c>
      <c r="H14" s="16">
        <v>0.10798193302637613</v>
      </c>
      <c r="I14" s="16">
        <v>0.79788456080286541</v>
      </c>
      <c r="J14" s="16" t="s">
        <v>106</v>
      </c>
      <c r="K14" s="16">
        <v>0.11920292202211756</v>
      </c>
      <c r="L14" s="16">
        <v>0.88079707797788243</v>
      </c>
      <c r="M14" s="16" t="s">
        <v>106</v>
      </c>
      <c r="P14"/>
    </row>
    <row r="15" spans="1:18" hidden="1" x14ac:dyDescent="0.25">
      <c r="A15" s="2">
        <v>2</v>
      </c>
      <c r="B15" s="2">
        <v>3</v>
      </c>
      <c r="C15" s="2" t="s">
        <v>94</v>
      </c>
      <c r="D15" s="22">
        <v>8</v>
      </c>
      <c r="E15" s="2">
        <v>7</v>
      </c>
      <c r="F15" s="2">
        <v>8</v>
      </c>
      <c r="G15" s="2">
        <v>9</v>
      </c>
      <c r="H15" s="16">
        <v>0.10798193302637613</v>
      </c>
      <c r="I15" s="16">
        <v>0.79788456080286541</v>
      </c>
      <c r="J15" s="16">
        <v>0.10798193302637613</v>
      </c>
      <c r="K15" s="16">
        <v>0.10650697891920077</v>
      </c>
      <c r="L15" s="16">
        <v>0.78698604216159851</v>
      </c>
      <c r="M15" s="16">
        <v>0.10650697891920077</v>
      </c>
      <c r="P15"/>
    </row>
    <row r="16" spans="1:18" hidden="1" x14ac:dyDescent="0.25">
      <c r="A16" s="17">
        <v>2</v>
      </c>
      <c r="B16" s="17">
        <v>1</v>
      </c>
      <c r="C16" s="17" t="s">
        <v>95</v>
      </c>
      <c r="D16" s="21">
        <v>3</v>
      </c>
      <c r="E16" s="17">
        <v>2</v>
      </c>
      <c r="F16" s="17">
        <v>3</v>
      </c>
      <c r="G16" s="17">
        <v>4</v>
      </c>
      <c r="H16" s="15">
        <v>0.10798193302637613</v>
      </c>
      <c r="I16" s="15">
        <v>0.79788456080286541</v>
      </c>
      <c r="J16" s="15">
        <v>0.10798193302637613</v>
      </c>
      <c r="K16" s="15">
        <v>0.10650697891920077</v>
      </c>
      <c r="L16" s="15">
        <v>0.78698604216159851</v>
      </c>
      <c r="M16" s="15">
        <v>0.10650697891920077</v>
      </c>
      <c r="P16"/>
    </row>
    <row r="17" spans="1:17" hidden="1" x14ac:dyDescent="0.25">
      <c r="A17" s="17">
        <v>2</v>
      </c>
      <c r="B17" s="17">
        <v>2</v>
      </c>
      <c r="C17" s="17" t="s">
        <v>95</v>
      </c>
      <c r="D17" s="21">
        <v>4</v>
      </c>
      <c r="E17" s="17">
        <v>3</v>
      </c>
      <c r="F17" s="17">
        <v>4</v>
      </c>
      <c r="G17" s="17">
        <v>5</v>
      </c>
      <c r="H17" s="15">
        <v>0.10798193302637613</v>
      </c>
      <c r="I17" s="15">
        <v>0.79788456080286541</v>
      </c>
      <c r="J17" s="15">
        <v>0.10798193302637613</v>
      </c>
      <c r="K17" s="15">
        <v>0.10650697891920077</v>
      </c>
      <c r="L17" s="15">
        <v>0.78698604216159851</v>
      </c>
      <c r="M17" s="15">
        <v>0.10650697891920077</v>
      </c>
      <c r="P17"/>
    </row>
    <row r="18" spans="1:17" hidden="1" x14ac:dyDescent="0.25">
      <c r="A18" s="17">
        <v>2</v>
      </c>
      <c r="B18" s="17">
        <v>3</v>
      </c>
      <c r="C18" s="17" t="s">
        <v>95</v>
      </c>
      <c r="D18" s="21">
        <v>5</v>
      </c>
      <c r="E18" s="17">
        <v>4</v>
      </c>
      <c r="F18" s="17">
        <v>5</v>
      </c>
      <c r="G18" s="17">
        <v>6</v>
      </c>
      <c r="H18" s="15">
        <v>0.10798193302637613</v>
      </c>
      <c r="I18" s="15">
        <v>0.79788456080286541</v>
      </c>
      <c r="J18" s="15">
        <v>0.10798193302637613</v>
      </c>
      <c r="K18" s="15">
        <v>0.10650697891920077</v>
      </c>
      <c r="L18" s="15">
        <v>0.78698604216159851</v>
      </c>
      <c r="M18" s="15">
        <v>0.10650697891920077</v>
      </c>
      <c r="P18"/>
    </row>
    <row r="19" spans="1:17" x14ac:dyDescent="0.25">
      <c r="A19" s="2">
        <v>2</v>
      </c>
      <c r="B19" s="2">
        <v>1</v>
      </c>
      <c r="C19" s="2" t="s">
        <v>96</v>
      </c>
      <c r="D19" s="22">
        <v>7</v>
      </c>
      <c r="E19" s="2">
        <v>6</v>
      </c>
      <c r="F19" s="2">
        <v>7</v>
      </c>
      <c r="G19" s="2">
        <v>8</v>
      </c>
      <c r="H19" s="16">
        <v>0.10798193302637613</v>
      </c>
      <c r="I19" s="16">
        <v>0.79788456080286541</v>
      </c>
      <c r="J19" s="16">
        <v>0.10798193302637613</v>
      </c>
      <c r="K19" s="16">
        <v>0.10650697891920077</v>
      </c>
      <c r="L19" s="16">
        <v>0.78698604216159851</v>
      </c>
      <c r="M19" s="16">
        <v>0.10650697891920077</v>
      </c>
      <c r="P19"/>
    </row>
    <row r="20" spans="1:17" x14ac:dyDescent="0.25">
      <c r="A20" s="2">
        <v>2</v>
      </c>
      <c r="B20" s="2">
        <v>2</v>
      </c>
      <c r="C20" s="2" t="s">
        <v>96</v>
      </c>
      <c r="D20" s="22">
        <v>9</v>
      </c>
      <c r="E20" s="2">
        <v>8</v>
      </c>
      <c r="F20" s="2">
        <v>9</v>
      </c>
      <c r="G20" s="2">
        <v>10</v>
      </c>
      <c r="H20" s="16">
        <v>0.10798193302637613</v>
      </c>
      <c r="I20" s="16">
        <v>0.79788456080286541</v>
      </c>
      <c r="J20" s="16">
        <v>0.10798193302637613</v>
      </c>
      <c r="K20" s="16">
        <v>0.10650697891920077</v>
      </c>
      <c r="L20" s="16">
        <v>0.78698604216159851</v>
      </c>
      <c r="M20" s="16">
        <v>0.10650697891920077</v>
      </c>
      <c r="P20"/>
    </row>
    <row r="21" spans="1:17" x14ac:dyDescent="0.25">
      <c r="A21" s="2">
        <v>2</v>
      </c>
      <c r="B21" s="2">
        <v>3</v>
      </c>
      <c r="C21" s="2" t="s">
        <v>96</v>
      </c>
      <c r="D21" s="22">
        <v>6</v>
      </c>
      <c r="E21" s="2">
        <v>5</v>
      </c>
      <c r="F21" s="2">
        <v>6</v>
      </c>
      <c r="G21" s="2">
        <v>7</v>
      </c>
      <c r="H21" s="16">
        <v>0.10798193302637613</v>
      </c>
      <c r="I21" s="16">
        <v>0.79788456080286541</v>
      </c>
      <c r="J21" s="16">
        <v>0.10798193302637613</v>
      </c>
      <c r="K21" s="16">
        <v>0.10650697891920077</v>
      </c>
      <c r="L21" s="16">
        <v>0.78698604216159851</v>
      </c>
      <c r="M21" s="16">
        <v>0.10650697891920077</v>
      </c>
      <c r="P21"/>
    </row>
    <row r="22" spans="1:17" hidden="1" x14ac:dyDescent="0.25">
      <c r="A22" s="17">
        <v>3</v>
      </c>
      <c r="B22" s="17">
        <v>1</v>
      </c>
      <c r="C22" s="17" t="s">
        <v>94</v>
      </c>
      <c r="D22" s="21">
        <v>10</v>
      </c>
      <c r="E22" s="17">
        <v>9</v>
      </c>
      <c r="F22" s="17">
        <v>10</v>
      </c>
      <c r="G22" s="17" t="s">
        <v>106</v>
      </c>
      <c r="H22" s="15">
        <v>0.10798193302637613</v>
      </c>
      <c r="I22" s="15">
        <v>0.79788456080286541</v>
      </c>
      <c r="J22" s="15" t="s">
        <v>106</v>
      </c>
      <c r="K22" s="15">
        <v>0.11920292202211756</v>
      </c>
      <c r="L22" s="15">
        <v>0.88079707797788243</v>
      </c>
      <c r="M22" s="15" t="s">
        <v>106</v>
      </c>
      <c r="P22"/>
    </row>
    <row r="23" spans="1:17" hidden="1" x14ac:dyDescent="0.25">
      <c r="A23" s="17">
        <v>3</v>
      </c>
      <c r="B23" s="17">
        <v>2</v>
      </c>
      <c r="C23" s="17" t="s">
        <v>94</v>
      </c>
      <c r="D23" s="21">
        <v>8</v>
      </c>
      <c r="E23" s="17">
        <v>7</v>
      </c>
      <c r="F23" s="17">
        <v>8</v>
      </c>
      <c r="G23" s="17">
        <v>9</v>
      </c>
      <c r="H23" s="15">
        <v>0.10798193302637613</v>
      </c>
      <c r="I23" s="15">
        <v>0.79788456080286541</v>
      </c>
      <c r="J23" s="15">
        <v>0.10798193302637613</v>
      </c>
      <c r="K23" s="15">
        <v>0.10650697891920077</v>
      </c>
      <c r="L23" s="15">
        <v>0.78698604216159851</v>
      </c>
      <c r="M23" s="15">
        <v>0.10650697891920077</v>
      </c>
      <c r="P23"/>
    </row>
    <row r="24" spans="1:17" hidden="1" x14ac:dyDescent="0.25">
      <c r="A24" s="17">
        <v>3</v>
      </c>
      <c r="B24" s="17">
        <v>3</v>
      </c>
      <c r="C24" s="17" t="s">
        <v>94</v>
      </c>
      <c r="D24" s="21">
        <v>8</v>
      </c>
      <c r="E24" s="17">
        <v>7</v>
      </c>
      <c r="F24" s="17">
        <v>8</v>
      </c>
      <c r="G24" s="17">
        <v>9</v>
      </c>
      <c r="H24" s="15">
        <v>0.10798193302637613</v>
      </c>
      <c r="I24" s="15">
        <v>0.79788456080286541</v>
      </c>
      <c r="J24" s="15">
        <v>0.10798193302637613</v>
      </c>
      <c r="K24" s="15">
        <v>0.10650697891920077</v>
      </c>
      <c r="L24" s="15">
        <v>0.78698604216159851</v>
      </c>
      <c r="M24" s="15">
        <v>0.10650697891920077</v>
      </c>
      <c r="P24"/>
    </row>
    <row r="25" spans="1:17" hidden="1" x14ac:dyDescent="0.25">
      <c r="A25" s="2">
        <v>3</v>
      </c>
      <c r="B25" s="2">
        <v>1</v>
      </c>
      <c r="C25" s="2" t="s">
        <v>95</v>
      </c>
      <c r="D25" s="22">
        <v>5</v>
      </c>
      <c r="E25" s="2">
        <v>4</v>
      </c>
      <c r="F25" s="2">
        <v>5</v>
      </c>
      <c r="G25" s="2">
        <v>6</v>
      </c>
      <c r="H25" s="16">
        <v>0.10798193302637613</v>
      </c>
      <c r="I25" s="16">
        <v>0.79788456080286541</v>
      </c>
      <c r="J25" s="16">
        <v>0.10798193302637613</v>
      </c>
      <c r="K25" s="16">
        <v>0.10650697891920077</v>
      </c>
      <c r="L25" s="16">
        <v>0.78698604216159851</v>
      </c>
      <c r="M25" s="16">
        <v>0.10650697891920077</v>
      </c>
      <c r="P25"/>
    </row>
    <row r="26" spans="1:17" hidden="1" x14ac:dyDescent="0.25">
      <c r="A26" s="2">
        <v>3</v>
      </c>
      <c r="B26" s="2">
        <v>2</v>
      </c>
      <c r="C26" s="2" t="s">
        <v>95</v>
      </c>
      <c r="D26" s="22">
        <v>6</v>
      </c>
      <c r="E26" s="2">
        <v>5</v>
      </c>
      <c r="F26" s="2">
        <v>6</v>
      </c>
      <c r="G26" s="2">
        <v>7</v>
      </c>
      <c r="H26" s="16">
        <v>0.10798193302637613</v>
      </c>
      <c r="I26" s="16">
        <v>0.79788456080286541</v>
      </c>
      <c r="J26" s="16">
        <v>0.10798193302637613</v>
      </c>
      <c r="K26" s="16">
        <v>0.10650697891920077</v>
      </c>
      <c r="L26" s="16">
        <v>0.78698604216159851</v>
      </c>
      <c r="M26" s="16">
        <v>0.10650697891920077</v>
      </c>
      <c r="P26"/>
    </row>
    <row r="27" spans="1:17" hidden="1" x14ac:dyDescent="0.25">
      <c r="A27" s="2">
        <v>3</v>
      </c>
      <c r="B27" s="2">
        <v>3</v>
      </c>
      <c r="C27" s="2" t="s">
        <v>95</v>
      </c>
      <c r="D27" s="22">
        <v>6</v>
      </c>
      <c r="E27" s="2">
        <v>5</v>
      </c>
      <c r="F27" s="2">
        <v>6</v>
      </c>
      <c r="G27" s="2">
        <v>7</v>
      </c>
      <c r="H27" s="16">
        <v>0.10798193302637613</v>
      </c>
      <c r="I27" s="16">
        <v>0.79788456080286541</v>
      </c>
      <c r="J27" s="16">
        <v>0.10798193302637613</v>
      </c>
      <c r="K27" s="16">
        <v>0.10650697891920077</v>
      </c>
      <c r="L27" s="16">
        <v>0.78698604216159851</v>
      </c>
      <c r="M27" s="16">
        <v>0.10650697891920077</v>
      </c>
      <c r="P27"/>
    </row>
    <row r="28" spans="1:17" x14ac:dyDescent="0.25">
      <c r="A28" s="17">
        <v>3</v>
      </c>
      <c r="B28" s="17">
        <v>2</v>
      </c>
      <c r="C28" s="17" t="s">
        <v>96</v>
      </c>
      <c r="D28" s="21">
        <v>5</v>
      </c>
      <c r="E28" s="17">
        <v>4</v>
      </c>
      <c r="F28" s="17">
        <v>5</v>
      </c>
      <c r="G28" s="17">
        <v>6</v>
      </c>
      <c r="H28" s="15">
        <v>0.10798193302637613</v>
      </c>
      <c r="I28" s="15">
        <v>0.79788456080286541</v>
      </c>
      <c r="J28" s="15">
        <v>0.10798193302637613</v>
      </c>
      <c r="K28" s="15">
        <v>0.10650697891920077</v>
      </c>
      <c r="L28" s="15">
        <v>0.78698604216159851</v>
      </c>
      <c r="M28" s="15">
        <v>0.10650697891920077</v>
      </c>
      <c r="O28" s="29">
        <v>3</v>
      </c>
      <c r="P28" s="2" t="s">
        <v>108</v>
      </c>
    </row>
    <row r="29" spans="1:17" x14ac:dyDescent="0.25">
      <c r="A29" s="17">
        <v>3</v>
      </c>
      <c r="B29" s="17">
        <v>3</v>
      </c>
      <c r="C29" s="17" t="s">
        <v>96</v>
      </c>
      <c r="D29" s="21">
        <v>4</v>
      </c>
      <c r="E29" s="17">
        <v>3</v>
      </c>
      <c r="F29" s="17">
        <v>4</v>
      </c>
      <c r="G29" s="17">
        <v>5</v>
      </c>
      <c r="H29" s="15">
        <v>0.10798193302637613</v>
      </c>
      <c r="I29" s="15">
        <v>0.79788456080286541</v>
      </c>
      <c r="J29" s="15">
        <v>0.10798193302637613</v>
      </c>
      <c r="K29" s="15">
        <v>0.10650697891920077</v>
      </c>
      <c r="L29" s="15">
        <v>0.78698604216159851</v>
      </c>
      <c r="M29" s="15">
        <v>0.10650697891920077</v>
      </c>
      <c r="O29" s="29">
        <v>4</v>
      </c>
      <c r="P29" s="2" t="s">
        <v>108</v>
      </c>
      <c r="Q29" t="s">
        <v>108</v>
      </c>
    </row>
    <row r="30" spans="1:17" hidden="1" x14ac:dyDescent="0.25">
      <c r="A30" s="2">
        <v>4</v>
      </c>
      <c r="B30" s="2">
        <v>1</v>
      </c>
      <c r="C30" s="2" t="s">
        <v>94</v>
      </c>
      <c r="D30" s="22">
        <v>10</v>
      </c>
      <c r="E30" s="2">
        <v>9</v>
      </c>
      <c r="F30" s="2">
        <v>10</v>
      </c>
      <c r="G30" s="2" t="s">
        <v>106</v>
      </c>
      <c r="H30" s="16">
        <v>0.10798193302637613</v>
      </c>
      <c r="I30" s="16">
        <v>0.79788456080286541</v>
      </c>
      <c r="J30" s="16" t="s">
        <v>106</v>
      </c>
      <c r="K30" s="16">
        <v>0.11920292202211756</v>
      </c>
      <c r="L30" s="16">
        <v>0.88079707797788243</v>
      </c>
      <c r="M30" s="16" t="s">
        <v>106</v>
      </c>
      <c r="P30"/>
    </row>
    <row r="31" spans="1:17" hidden="1" x14ac:dyDescent="0.25">
      <c r="A31" s="2">
        <v>4</v>
      </c>
      <c r="B31" s="2">
        <v>2</v>
      </c>
      <c r="C31" s="2" t="s">
        <v>94</v>
      </c>
      <c r="D31" s="22">
        <v>8</v>
      </c>
      <c r="E31" s="2">
        <v>7</v>
      </c>
      <c r="F31" s="2">
        <v>8</v>
      </c>
      <c r="G31" s="2">
        <v>9</v>
      </c>
      <c r="H31" s="16">
        <v>0.10798193302637613</v>
      </c>
      <c r="I31" s="16">
        <v>0.79788456080286541</v>
      </c>
      <c r="J31" s="16">
        <v>0.10798193302637613</v>
      </c>
      <c r="K31" s="16">
        <v>0.10650697891920077</v>
      </c>
      <c r="L31" s="16">
        <v>0.78698604216159851</v>
      </c>
      <c r="M31" s="16">
        <v>0.10650697891920077</v>
      </c>
      <c r="P31"/>
    </row>
    <row r="32" spans="1:17" hidden="1" x14ac:dyDescent="0.25">
      <c r="A32" s="2">
        <v>4</v>
      </c>
      <c r="B32" s="2">
        <v>3</v>
      </c>
      <c r="C32" s="2" t="s">
        <v>94</v>
      </c>
      <c r="D32" s="22">
        <v>7</v>
      </c>
      <c r="E32" s="2">
        <v>6</v>
      </c>
      <c r="F32" s="2">
        <v>7</v>
      </c>
      <c r="G32" s="2">
        <v>8</v>
      </c>
      <c r="H32" s="16">
        <v>0.10798193302637613</v>
      </c>
      <c r="I32" s="16">
        <v>0.79788456080286541</v>
      </c>
      <c r="J32" s="16">
        <v>0.10798193302637613</v>
      </c>
      <c r="K32" s="16">
        <v>0.10650697891920077</v>
      </c>
      <c r="L32" s="16">
        <v>0.78698604216159851</v>
      </c>
      <c r="M32" s="16">
        <v>0.10650697891920077</v>
      </c>
      <c r="P32"/>
    </row>
    <row r="33" spans="1:16" hidden="1" x14ac:dyDescent="0.25">
      <c r="A33" s="17">
        <v>4</v>
      </c>
      <c r="B33" s="17">
        <v>2</v>
      </c>
      <c r="C33" s="17" t="s">
        <v>95</v>
      </c>
      <c r="D33" s="21">
        <v>5</v>
      </c>
      <c r="E33" s="17">
        <v>4</v>
      </c>
      <c r="F33" s="17">
        <v>5</v>
      </c>
      <c r="G33" s="17">
        <v>6</v>
      </c>
      <c r="H33" s="15">
        <v>0.10798193302637613</v>
      </c>
      <c r="I33" s="15">
        <v>0.79788456080286541</v>
      </c>
      <c r="J33" s="15">
        <v>0.10798193302637613</v>
      </c>
      <c r="K33" s="15">
        <v>0.10650697891920077</v>
      </c>
      <c r="L33" s="15">
        <v>0.78698604216159851</v>
      </c>
      <c r="M33" s="15">
        <v>0.10650697891920077</v>
      </c>
      <c r="P33"/>
    </row>
    <row r="34" spans="1:16" hidden="1" x14ac:dyDescent="0.25">
      <c r="A34" s="17">
        <v>4</v>
      </c>
      <c r="B34" s="17">
        <v>3</v>
      </c>
      <c r="C34" s="17" t="s">
        <v>95</v>
      </c>
      <c r="D34" s="21">
        <v>5</v>
      </c>
      <c r="E34" s="17">
        <v>4</v>
      </c>
      <c r="F34" s="17">
        <v>5</v>
      </c>
      <c r="G34" s="17">
        <v>6</v>
      </c>
      <c r="H34" s="15">
        <v>0.10798193302637613</v>
      </c>
      <c r="I34" s="15">
        <v>0.79788456080286541</v>
      </c>
      <c r="J34" s="15">
        <v>0.10798193302637613</v>
      </c>
      <c r="K34" s="15">
        <v>0.10650697891920077</v>
      </c>
      <c r="L34" s="15">
        <v>0.78698604216159851</v>
      </c>
      <c r="M34" s="15">
        <v>0.10650697891920077</v>
      </c>
      <c r="P34"/>
    </row>
    <row r="35" spans="1:16" x14ac:dyDescent="0.25">
      <c r="A35" s="2">
        <v>4</v>
      </c>
      <c r="B35" s="2">
        <v>1</v>
      </c>
      <c r="C35" s="2" t="s">
        <v>96</v>
      </c>
      <c r="D35" s="22">
        <v>10</v>
      </c>
      <c r="E35" s="2">
        <v>9</v>
      </c>
      <c r="F35" s="2">
        <v>10</v>
      </c>
      <c r="G35" s="2" t="s">
        <v>106</v>
      </c>
      <c r="H35" s="16">
        <v>0.10798193302637613</v>
      </c>
      <c r="I35" s="16">
        <v>0.79788456080286541</v>
      </c>
      <c r="J35" s="16" t="s">
        <v>106</v>
      </c>
      <c r="K35" s="16">
        <v>0.11920292202211756</v>
      </c>
      <c r="L35" s="16">
        <v>0.88079707797788243</v>
      </c>
      <c r="M35" s="16" t="s">
        <v>106</v>
      </c>
      <c r="P35"/>
    </row>
    <row r="36" spans="1:16" x14ac:dyDescent="0.25">
      <c r="A36" s="2">
        <v>4</v>
      </c>
      <c r="B36" s="2">
        <v>2</v>
      </c>
      <c r="C36" s="2" t="s">
        <v>96</v>
      </c>
      <c r="D36" s="22">
        <v>8</v>
      </c>
      <c r="E36" s="2">
        <v>7</v>
      </c>
      <c r="F36" s="2">
        <v>8</v>
      </c>
      <c r="G36" s="2">
        <v>9</v>
      </c>
      <c r="H36" s="16">
        <v>0.10798193302637613</v>
      </c>
      <c r="I36" s="16">
        <v>0.79788456080286541</v>
      </c>
      <c r="J36" s="16">
        <v>0.10798193302637613</v>
      </c>
      <c r="K36" s="16">
        <v>0.10650697891920077</v>
      </c>
      <c r="L36" s="16">
        <v>0.78698604216159851</v>
      </c>
      <c r="M36" s="16">
        <v>0.10650697891920077</v>
      </c>
      <c r="P36"/>
    </row>
    <row r="37" spans="1:16" x14ac:dyDescent="0.25">
      <c r="A37" s="2">
        <v>4</v>
      </c>
      <c r="B37" s="2">
        <v>3</v>
      </c>
      <c r="C37" s="2" t="s">
        <v>96</v>
      </c>
      <c r="D37" s="22">
        <v>9</v>
      </c>
      <c r="E37" s="2">
        <v>8</v>
      </c>
      <c r="F37" s="2">
        <v>9</v>
      </c>
      <c r="G37" s="2">
        <v>10</v>
      </c>
      <c r="H37" s="16">
        <v>0.10798193302637613</v>
      </c>
      <c r="I37" s="16">
        <v>0.79788456080286541</v>
      </c>
      <c r="J37" s="16">
        <v>0.10798193302637613</v>
      </c>
      <c r="K37" s="16">
        <v>0.10650697891920077</v>
      </c>
      <c r="L37" s="16">
        <v>0.78698604216159851</v>
      </c>
      <c r="M37" s="16">
        <v>0.10650697891920077</v>
      </c>
      <c r="P37"/>
    </row>
    <row r="38" spans="1:16" hidden="1" x14ac:dyDescent="0.25">
      <c r="A38" s="17">
        <v>5</v>
      </c>
      <c r="B38" s="17">
        <v>1</v>
      </c>
      <c r="C38" s="17" t="s">
        <v>94</v>
      </c>
      <c r="D38" s="21">
        <v>10</v>
      </c>
      <c r="E38" s="17">
        <v>9</v>
      </c>
      <c r="F38" s="17">
        <v>10</v>
      </c>
      <c r="G38" s="17" t="s">
        <v>106</v>
      </c>
      <c r="H38" s="15">
        <v>0.10798193302637613</v>
      </c>
      <c r="I38" s="15">
        <v>0.79788456080286541</v>
      </c>
      <c r="J38" s="15" t="s">
        <v>106</v>
      </c>
      <c r="K38" s="15">
        <v>0.11920292202211756</v>
      </c>
      <c r="L38" s="15">
        <v>0.88079707797788243</v>
      </c>
      <c r="M38" s="15" t="s">
        <v>106</v>
      </c>
      <c r="P38"/>
    </row>
    <row r="39" spans="1:16" hidden="1" x14ac:dyDescent="0.25">
      <c r="A39" s="17">
        <v>5</v>
      </c>
      <c r="B39" s="17">
        <v>3</v>
      </c>
      <c r="C39" s="17" t="s">
        <v>94</v>
      </c>
      <c r="D39" s="21">
        <v>9</v>
      </c>
      <c r="E39" s="17">
        <v>8</v>
      </c>
      <c r="F39" s="17">
        <v>9</v>
      </c>
      <c r="G39" s="17">
        <v>10</v>
      </c>
      <c r="H39" s="15">
        <v>0.10798193302637613</v>
      </c>
      <c r="I39" s="15">
        <v>0.79788456080286541</v>
      </c>
      <c r="J39" s="15">
        <v>0.10798193302637613</v>
      </c>
      <c r="K39" s="15">
        <v>0.10650697891920077</v>
      </c>
      <c r="L39" s="15">
        <v>0.78698604216159851</v>
      </c>
      <c r="M39" s="15">
        <v>0.10650697891920077</v>
      </c>
      <c r="P39"/>
    </row>
    <row r="40" spans="1:16" hidden="1" x14ac:dyDescent="0.25">
      <c r="A40" s="2">
        <v>5</v>
      </c>
      <c r="B40" s="2">
        <v>2</v>
      </c>
      <c r="C40" s="2" t="s">
        <v>95</v>
      </c>
      <c r="D40" s="22">
        <v>5</v>
      </c>
      <c r="E40" s="2">
        <v>4</v>
      </c>
      <c r="F40" s="2">
        <v>5</v>
      </c>
      <c r="G40" s="2">
        <v>6</v>
      </c>
      <c r="H40" s="16">
        <v>0.10798193302637613</v>
      </c>
      <c r="I40" s="16">
        <v>0.79788456080286541</v>
      </c>
      <c r="J40" s="16">
        <v>0.10798193302637613</v>
      </c>
      <c r="K40" s="16">
        <v>0.10650697891920077</v>
      </c>
      <c r="L40" s="16">
        <v>0.78698604216159851</v>
      </c>
      <c r="M40" s="16">
        <v>0.10650697891920077</v>
      </c>
      <c r="P40"/>
    </row>
    <row r="41" spans="1:16" hidden="1" x14ac:dyDescent="0.25">
      <c r="A41" s="2">
        <v>5</v>
      </c>
      <c r="B41" s="2">
        <v>3</v>
      </c>
      <c r="C41" s="2" t="s">
        <v>95</v>
      </c>
      <c r="D41" s="22">
        <v>3</v>
      </c>
      <c r="E41" s="2">
        <v>2</v>
      </c>
      <c r="F41" s="2">
        <v>3</v>
      </c>
      <c r="G41" s="2">
        <v>4</v>
      </c>
      <c r="H41" s="16">
        <v>0.10798193302637613</v>
      </c>
      <c r="I41" s="16">
        <v>0.79788456080286541</v>
      </c>
      <c r="J41" s="16">
        <v>0.10798193302637613</v>
      </c>
      <c r="K41" s="16">
        <v>0.10650697891920077</v>
      </c>
      <c r="L41" s="16">
        <v>0.78698604216159851</v>
      </c>
      <c r="M41" s="16">
        <v>0.10650697891920077</v>
      </c>
      <c r="P41"/>
    </row>
    <row r="42" spans="1:16" x14ac:dyDescent="0.25">
      <c r="A42" s="17">
        <v>5</v>
      </c>
      <c r="B42" s="17">
        <v>1</v>
      </c>
      <c r="C42" s="17" t="s">
        <v>96</v>
      </c>
      <c r="D42" s="21">
        <v>10</v>
      </c>
      <c r="E42" s="17">
        <v>9</v>
      </c>
      <c r="F42" s="17">
        <v>10</v>
      </c>
      <c r="G42" s="17" t="s">
        <v>106</v>
      </c>
      <c r="H42" s="15">
        <v>0.10798193302637613</v>
      </c>
      <c r="I42" s="15">
        <v>0.79788456080286541</v>
      </c>
      <c r="J42" s="15" t="s">
        <v>106</v>
      </c>
      <c r="K42" s="15">
        <v>0.11920292202211756</v>
      </c>
      <c r="L42" s="15">
        <v>0.88079707797788243</v>
      </c>
      <c r="M42" s="15" t="s">
        <v>106</v>
      </c>
      <c r="P42"/>
    </row>
    <row r="43" spans="1:16" x14ac:dyDescent="0.25">
      <c r="A43" s="17">
        <v>5</v>
      </c>
      <c r="B43" s="17">
        <v>3</v>
      </c>
      <c r="C43" s="17" t="s">
        <v>96</v>
      </c>
      <c r="D43" s="21">
        <v>8</v>
      </c>
      <c r="E43" s="17">
        <v>7</v>
      </c>
      <c r="F43" s="17">
        <v>8</v>
      </c>
      <c r="G43" s="17">
        <v>9</v>
      </c>
      <c r="H43" s="15">
        <v>0.10798193302637613</v>
      </c>
      <c r="I43" s="15">
        <v>0.79788456080286541</v>
      </c>
      <c r="J43" s="15">
        <v>0.10798193302637613</v>
      </c>
      <c r="K43" s="15">
        <v>0.10650697891920077</v>
      </c>
      <c r="L43" s="15">
        <v>0.78698604216159851</v>
      </c>
      <c r="M43" s="15">
        <v>0.10650697891920077</v>
      </c>
      <c r="P43"/>
    </row>
    <row r="44" spans="1:16" hidden="1" x14ac:dyDescent="0.25">
      <c r="A44" s="2">
        <v>6</v>
      </c>
      <c r="B44" s="2">
        <v>1</v>
      </c>
      <c r="C44" s="2" t="s">
        <v>94</v>
      </c>
      <c r="D44" s="22">
        <v>10</v>
      </c>
      <c r="E44" s="2">
        <v>9</v>
      </c>
      <c r="F44" s="2">
        <v>10</v>
      </c>
      <c r="G44" s="2" t="s">
        <v>106</v>
      </c>
      <c r="H44" s="16">
        <v>0.10798193302637613</v>
      </c>
      <c r="I44" s="16">
        <v>0.79788456080286541</v>
      </c>
      <c r="J44" s="16" t="s">
        <v>106</v>
      </c>
      <c r="K44" s="16">
        <v>0.11920292202211756</v>
      </c>
      <c r="L44" s="16">
        <v>0.88079707797788243</v>
      </c>
      <c r="M44" s="16" t="s">
        <v>106</v>
      </c>
      <c r="P44"/>
    </row>
    <row r="45" spans="1:16" hidden="1" x14ac:dyDescent="0.25">
      <c r="A45" s="2">
        <v>6</v>
      </c>
      <c r="B45" s="2">
        <v>2</v>
      </c>
      <c r="C45" s="2" t="s">
        <v>94</v>
      </c>
      <c r="D45" s="22">
        <v>8</v>
      </c>
      <c r="E45" s="2">
        <v>7</v>
      </c>
      <c r="F45" s="2">
        <v>8</v>
      </c>
      <c r="G45" s="2">
        <v>9</v>
      </c>
      <c r="H45" s="16">
        <v>0.10798193302637613</v>
      </c>
      <c r="I45" s="16">
        <v>0.79788456080286541</v>
      </c>
      <c r="J45" s="16">
        <v>0.10798193302637613</v>
      </c>
      <c r="K45" s="16">
        <v>0.10650697891920077</v>
      </c>
      <c r="L45" s="16">
        <v>0.78698604216159851</v>
      </c>
      <c r="M45" s="16">
        <v>0.10650697891920077</v>
      </c>
      <c r="P45"/>
    </row>
    <row r="46" spans="1:16" hidden="1" x14ac:dyDescent="0.25">
      <c r="A46" s="2">
        <v>6</v>
      </c>
      <c r="B46" s="2">
        <v>3</v>
      </c>
      <c r="C46" s="2" t="s">
        <v>94</v>
      </c>
      <c r="D46" s="22">
        <v>7</v>
      </c>
      <c r="E46" s="2">
        <v>6</v>
      </c>
      <c r="F46" s="2">
        <v>7</v>
      </c>
      <c r="G46" s="2">
        <v>8</v>
      </c>
      <c r="H46" s="16">
        <v>0.10798193302637613</v>
      </c>
      <c r="I46" s="16">
        <v>0.79788456080286541</v>
      </c>
      <c r="J46" s="16">
        <v>0.10798193302637613</v>
      </c>
      <c r="K46" s="16">
        <v>0.10650697891920077</v>
      </c>
      <c r="L46" s="16">
        <v>0.78698604216159851</v>
      </c>
      <c r="M46" s="16">
        <v>0.10650697891920077</v>
      </c>
      <c r="P46"/>
    </row>
    <row r="47" spans="1:16" hidden="1" x14ac:dyDescent="0.25">
      <c r="A47" s="17">
        <v>6</v>
      </c>
      <c r="B47" s="17">
        <v>1</v>
      </c>
      <c r="C47" s="17" t="s">
        <v>95</v>
      </c>
      <c r="D47" s="21">
        <v>5</v>
      </c>
      <c r="E47" s="17">
        <v>4</v>
      </c>
      <c r="F47" s="17">
        <v>5</v>
      </c>
      <c r="G47" s="17">
        <v>6</v>
      </c>
      <c r="H47" s="15">
        <v>0.10798193302637613</v>
      </c>
      <c r="I47" s="15">
        <v>0.79788456080286541</v>
      </c>
      <c r="J47" s="15">
        <v>0.10798193302637613</v>
      </c>
      <c r="K47" s="15">
        <v>0.10650697891920077</v>
      </c>
      <c r="L47" s="15">
        <v>0.78698604216159851</v>
      </c>
      <c r="M47" s="15">
        <v>0.10650697891920077</v>
      </c>
      <c r="P47"/>
    </row>
    <row r="48" spans="1:16" hidden="1" x14ac:dyDescent="0.25">
      <c r="A48" s="17">
        <v>6</v>
      </c>
      <c r="B48" s="17">
        <v>2</v>
      </c>
      <c r="C48" s="17" t="s">
        <v>95</v>
      </c>
      <c r="D48" s="21">
        <v>4</v>
      </c>
      <c r="E48" s="17">
        <v>3</v>
      </c>
      <c r="F48" s="17">
        <v>4</v>
      </c>
      <c r="G48" s="17">
        <v>5</v>
      </c>
      <c r="H48" s="15">
        <v>0.10798193302637613</v>
      </c>
      <c r="I48" s="15">
        <v>0.79788456080286541</v>
      </c>
      <c r="J48" s="15">
        <v>0.10798193302637613</v>
      </c>
      <c r="K48" s="15">
        <v>0.10650697891920077</v>
      </c>
      <c r="L48" s="15">
        <v>0.78698604216159851</v>
      </c>
      <c r="M48" s="15">
        <v>0.10650697891920077</v>
      </c>
      <c r="P48"/>
    </row>
    <row r="49" spans="1:16" hidden="1" x14ac:dyDescent="0.25">
      <c r="A49" s="17">
        <v>6</v>
      </c>
      <c r="B49" s="17">
        <v>3</v>
      </c>
      <c r="C49" s="17" t="s">
        <v>95</v>
      </c>
      <c r="D49" s="21">
        <v>5</v>
      </c>
      <c r="E49" s="17">
        <v>4</v>
      </c>
      <c r="F49" s="17">
        <v>5</v>
      </c>
      <c r="G49" s="17">
        <v>6</v>
      </c>
      <c r="H49" s="15">
        <v>0.10798193302637613</v>
      </c>
      <c r="I49" s="15">
        <v>0.79788456080286541</v>
      </c>
      <c r="J49" s="15">
        <v>0.10798193302637613</v>
      </c>
      <c r="K49" s="15">
        <v>0.10650697891920077</v>
      </c>
      <c r="L49" s="15">
        <v>0.78698604216159851</v>
      </c>
      <c r="M49" s="15">
        <v>0.10650697891920077</v>
      </c>
      <c r="P49"/>
    </row>
    <row r="50" spans="1:16" x14ac:dyDescent="0.25">
      <c r="A50" s="2">
        <v>6</v>
      </c>
      <c r="B50" s="2">
        <v>1</v>
      </c>
      <c r="C50" s="2" t="s">
        <v>96</v>
      </c>
      <c r="D50" s="22">
        <v>10</v>
      </c>
      <c r="E50" s="2">
        <v>9</v>
      </c>
      <c r="F50" s="2">
        <v>10</v>
      </c>
      <c r="G50" s="2" t="s">
        <v>106</v>
      </c>
      <c r="H50" s="16">
        <v>0.10798193302637613</v>
      </c>
      <c r="I50" s="16">
        <v>0.79788456080286541</v>
      </c>
      <c r="J50" s="16" t="s">
        <v>106</v>
      </c>
      <c r="K50" s="16">
        <v>0.11920292202211756</v>
      </c>
      <c r="L50" s="16">
        <v>0.88079707797788243</v>
      </c>
      <c r="M50" s="16" t="s">
        <v>106</v>
      </c>
      <c r="P50"/>
    </row>
    <row r="51" spans="1:16" x14ac:dyDescent="0.25">
      <c r="A51" s="2">
        <v>6</v>
      </c>
      <c r="B51" s="2">
        <v>2</v>
      </c>
      <c r="C51" s="2" t="s">
        <v>96</v>
      </c>
      <c r="D51" s="22">
        <v>8</v>
      </c>
      <c r="E51" s="2">
        <v>7</v>
      </c>
      <c r="F51" s="2">
        <v>8</v>
      </c>
      <c r="G51" s="2">
        <v>9</v>
      </c>
      <c r="H51" s="16">
        <v>0.10798193302637613</v>
      </c>
      <c r="I51" s="16">
        <v>0.79788456080286541</v>
      </c>
      <c r="J51" s="16">
        <v>0.10798193302637613</v>
      </c>
      <c r="K51" s="16">
        <v>0.10650697891920077</v>
      </c>
      <c r="L51" s="16">
        <v>0.78698604216159851</v>
      </c>
      <c r="M51" s="16">
        <v>0.10650697891920077</v>
      </c>
      <c r="P51"/>
    </row>
    <row r="52" spans="1:16" x14ac:dyDescent="0.25">
      <c r="A52" s="2">
        <v>6</v>
      </c>
      <c r="B52" s="2">
        <v>3</v>
      </c>
      <c r="C52" s="2" t="s">
        <v>96</v>
      </c>
      <c r="D52" s="22">
        <v>6</v>
      </c>
      <c r="E52" s="2">
        <v>5</v>
      </c>
      <c r="F52" s="2">
        <v>6</v>
      </c>
      <c r="G52" s="2">
        <v>7</v>
      </c>
      <c r="H52" s="16">
        <v>0.10798193302637613</v>
      </c>
      <c r="I52" s="16">
        <v>0.79788456080286541</v>
      </c>
      <c r="J52" s="16">
        <v>0.10798193302637613</v>
      </c>
      <c r="K52" s="16">
        <v>0.10650697891920077</v>
      </c>
      <c r="L52" s="16">
        <v>0.78698604216159851</v>
      </c>
      <c r="M52" s="16">
        <v>0.10650697891920077</v>
      </c>
      <c r="P52"/>
    </row>
    <row r="53" spans="1:16" hidden="1" x14ac:dyDescent="0.25">
      <c r="A53" s="17">
        <v>7</v>
      </c>
      <c r="B53" s="17">
        <v>1</v>
      </c>
      <c r="C53" s="17" t="s">
        <v>94</v>
      </c>
      <c r="D53" s="21">
        <v>10</v>
      </c>
      <c r="E53" s="17">
        <v>9</v>
      </c>
      <c r="F53" s="17">
        <v>10</v>
      </c>
      <c r="G53" s="17" t="s">
        <v>106</v>
      </c>
      <c r="H53" s="15">
        <v>0.10798193302637613</v>
      </c>
      <c r="I53" s="15">
        <v>0.79788456080286541</v>
      </c>
      <c r="J53" s="15" t="s">
        <v>106</v>
      </c>
      <c r="K53" s="15">
        <v>0.11920292202211756</v>
      </c>
      <c r="L53" s="15">
        <v>0.88079707797788243</v>
      </c>
      <c r="M53" s="15" t="s">
        <v>106</v>
      </c>
      <c r="P53"/>
    </row>
    <row r="54" spans="1:16" hidden="1" x14ac:dyDescent="0.25">
      <c r="A54" s="17">
        <v>7</v>
      </c>
      <c r="B54" s="17">
        <v>2</v>
      </c>
      <c r="C54" s="17" t="s">
        <v>94</v>
      </c>
      <c r="D54" s="21">
        <v>9</v>
      </c>
      <c r="E54" s="17">
        <v>8</v>
      </c>
      <c r="F54" s="17">
        <v>9</v>
      </c>
      <c r="G54" s="17">
        <v>10</v>
      </c>
      <c r="H54" s="15">
        <v>0.10798193302637613</v>
      </c>
      <c r="I54" s="15">
        <v>0.79788456080286541</v>
      </c>
      <c r="J54" s="15">
        <v>0.10798193302637613</v>
      </c>
      <c r="K54" s="15">
        <v>0.10650697891920077</v>
      </c>
      <c r="L54" s="15">
        <v>0.78698604216159851</v>
      </c>
      <c r="M54" s="15">
        <v>0.10650697891920077</v>
      </c>
      <c r="P54"/>
    </row>
    <row r="55" spans="1:16" hidden="1" x14ac:dyDescent="0.25">
      <c r="A55" s="2">
        <v>7</v>
      </c>
      <c r="B55" s="2">
        <v>1</v>
      </c>
      <c r="C55" s="2" t="s">
        <v>95</v>
      </c>
      <c r="D55" s="22">
        <v>5</v>
      </c>
      <c r="E55" s="2">
        <v>4</v>
      </c>
      <c r="F55" s="2">
        <v>5</v>
      </c>
      <c r="G55" s="2">
        <v>6</v>
      </c>
      <c r="H55" s="16">
        <v>0.10798193302637613</v>
      </c>
      <c r="I55" s="16">
        <v>0.79788456080286541</v>
      </c>
      <c r="J55" s="16">
        <v>0.10798193302637613</v>
      </c>
      <c r="K55" s="16">
        <v>0.10650697891920077</v>
      </c>
      <c r="L55" s="16">
        <v>0.78698604216159851</v>
      </c>
      <c r="M55" s="16">
        <v>0.10650697891920077</v>
      </c>
      <c r="P55"/>
    </row>
    <row r="56" spans="1:16" hidden="1" x14ac:dyDescent="0.25">
      <c r="A56" s="2">
        <v>7</v>
      </c>
      <c r="B56" s="2">
        <v>2</v>
      </c>
      <c r="C56" s="2" t="s">
        <v>95</v>
      </c>
      <c r="D56" s="22">
        <v>4</v>
      </c>
      <c r="E56" s="2">
        <v>3</v>
      </c>
      <c r="F56" s="2">
        <v>4</v>
      </c>
      <c r="G56" s="2">
        <v>5</v>
      </c>
      <c r="H56" s="16">
        <v>0.10798193302637613</v>
      </c>
      <c r="I56" s="16">
        <v>0.79788456080286541</v>
      </c>
      <c r="J56" s="16">
        <v>0.10798193302637613</v>
      </c>
      <c r="K56" s="16">
        <v>0.10650697891920077</v>
      </c>
      <c r="L56" s="16">
        <v>0.78698604216159851</v>
      </c>
      <c r="M56" s="16">
        <v>0.10650697891920077</v>
      </c>
      <c r="P56"/>
    </row>
    <row r="57" spans="1:16" hidden="1" x14ac:dyDescent="0.25">
      <c r="A57" s="2">
        <v>7</v>
      </c>
      <c r="B57" s="2">
        <v>3</v>
      </c>
      <c r="C57" s="2" t="s">
        <v>95</v>
      </c>
      <c r="D57" s="22">
        <v>6</v>
      </c>
      <c r="E57" s="2">
        <v>5</v>
      </c>
      <c r="F57" s="2">
        <v>6</v>
      </c>
      <c r="G57" s="2">
        <v>7</v>
      </c>
      <c r="H57" s="16">
        <v>0.10798193302637613</v>
      </c>
      <c r="I57" s="16">
        <v>0.79788456080286541</v>
      </c>
      <c r="J57" s="16">
        <v>0.10798193302637613</v>
      </c>
      <c r="K57" s="16">
        <v>0.10650697891920077</v>
      </c>
      <c r="L57" s="16">
        <v>0.78698604216159851</v>
      </c>
      <c r="M57" s="16">
        <v>0.10650697891920077</v>
      </c>
      <c r="P57"/>
    </row>
    <row r="58" spans="1:16" x14ac:dyDescent="0.25">
      <c r="A58" s="17">
        <v>7</v>
      </c>
      <c r="B58" s="17">
        <v>1</v>
      </c>
      <c r="C58" s="17" t="s">
        <v>96</v>
      </c>
      <c r="D58" s="21">
        <v>7</v>
      </c>
      <c r="E58" s="17">
        <v>6</v>
      </c>
      <c r="F58" s="17">
        <v>7</v>
      </c>
      <c r="G58" s="17">
        <v>8</v>
      </c>
      <c r="H58" s="15">
        <v>0.10798193302637613</v>
      </c>
      <c r="I58" s="15">
        <v>0.79788456080286541</v>
      </c>
      <c r="J58" s="15">
        <v>0.10798193302637613</v>
      </c>
      <c r="K58" s="15">
        <v>0.10650697891920077</v>
      </c>
      <c r="L58" s="15">
        <v>0.78698604216159851</v>
      </c>
      <c r="M58" s="15">
        <v>0.10650697891920077</v>
      </c>
      <c r="P58"/>
    </row>
    <row r="59" spans="1:16" x14ac:dyDescent="0.25">
      <c r="A59" s="17">
        <v>7</v>
      </c>
      <c r="B59" s="17">
        <v>2</v>
      </c>
      <c r="C59" s="17" t="s">
        <v>96</v>
      </c>
      <c r="D59" s="21">
        <v>8</v>
      </c>
      <c r="E59" s="17">
        <v>7</v>
      </c>
      <c r="F59" s="17">
        <v>8</v>
      </c>
      <c r="G59" s="17">
        <v>9</v>
      </c>
      <c r="H59" s="15">
        <v>0.10798193302637613</v>
      </c>
      <c r="I59" s="15">
        <v>0.79788456080286541</v>
      </c>
      <c r="J59" s="15">
        <v>0.10798193302637613</v>
      </c>
      <c r="K59" s="15">
        <v>0.10650697891920077</v>
      </c>
      <c r="L59" s="15">
        <v>0.78698604216159851</v>
      </c>
      <c r="M59" s="15">
        <v>0.10650697891920077</v>
      </c>
      <c r="P59"/>
    </row>
    <row r="60" spans="1:16" hidden="1" x14ac:dyDescent="0.25">
      <c r="A60" s="2">
        <v>8</v>
      </c>
      <c r="B60" s="2">
        <v>1</v>
      </c>
      <c r="C60" s="2" t="s">
        <v>94</v>
      </c>
      <c r="D60" s="22">
        <v>7</v>
      </c>
      <c r="E60" s="2">
        <v>6</v>
      </c>
      <c r="F60" s="2">
        <v>7</v>
      </c>
      <c r="G60" s="2">
        <v>8</v>
      </c>
      <c r="H60" s="16">
        <v>0.10798193302637613</v>
      </c>
      <c r="I60" s="16">
        <v>0.79788456080286541</v>
      </c>
      <c r="J60" s="16">
        <v>0.10798193302637613</v>
      </c>
      <c r="K60" s="16">
        <v>0.10650697891920077</v>
      </c>
      <c r="L60" s="16">
        <v>0.78698604216159851</v>
      </c>
      <c r="M60" s="16">
        <v>0.10650697891920077</v>
      </c>
      <c r="P60"/>
    </row>
    <row r="61" spans="1:16" hidden="1" x14ac:dyDescent="0.25">
      <c r="A61" s="2">
        <v>8</v>
      </c>
      <c r="B61" s="2">
        <v>2</v>
      </c>
      <c r="C61" s="2" t="s">
        <v>94</v>
      </c>
      <c r="D61" s="22">
        <v>5</v>
      </c>
      <c r="E61" s="2">
        <v>4</v>
      </c>
      <c r="F61" s="2">
        <v>5</v>
      </c>
      <c r="G61" s="2">
        <v>6</v>
      </c>
      <c r="H61" s="16">
        <v>0.10798193302637613</v>
      </c>
      <c r="I61" s="16">
        <v>0.79788456080286541</v>
      </c>
      <c r="J61" s="16">
        <v>0.10798193302637613</v>
      </c>
      <c r="K61" s="16">
        <v>0.10650697891920077</v>
      </c>
      <c r="L61" s="16">
        <v>0.78698604216159851</v>
      </c>
      <c r="M61" s="16">
        <v>0.10650697891920077</v>
      </c>
      <c r="P61"/>
    </row>
    <row r="62" spans="1:16" hidden="1" x14ac:dyDescent="0.25">
      <c r="A62" s="2">
        <v>8</v>
      </c>
      <c r="B62" s="2">
        <v>3</v>
      </c>
      <c r="C62" s="2" t="s">
        <v>94</v>
      </c>
      <c r="D62" s="22">
        <v>8</v>
      </c>
      <c r="E62" s="2">
        <v>7</v>
      </c>
      <c r="F62" s="2">
        <v>8</v>
      </c>
      <c r="G62" s="2">
        <v>9</v>
      </c>
      <c r="H62" s="16">
        <v>0.10798193302637613</v>
      </c>
      <c r="I62" s="16">
        <v>0.79788456080286541</v>
      </c>
      <c r="J62" s="16">
        <v>0.10798193302637613</v>
      </c>
      <c r="K62" s="16">
        <v>0.10650697891920077</v>
      </c>
      <c r="L62" s="16">
        <v>0.78698604216159851</v>
      </c>
      <c r="M62" s="16">
        <v>0.10650697891920077</v>
      </c>
      <c r="P62"/>
    </row>
    <row r="63" spans="1:16" hidden="1" x14ac:dyDescent="0.25">
      <c r="A63" s="17">
        <v>8</v>
      </c>
      <c r="B63" s="17">
        <v>2</v>
      </c>
      <c r="C63" s="17" t="s">
        <v>95</v>
      </c>
      <c r="D63" s="21">
        <v>3</v>
      </c>
      <c r="E63" s="17">
        <v>2</v>
      </c>
      <c r="F63" s="17">
        <v>3</v>
      </c>
      <c r="G63" s="17">
        <v>4</v>
      </c>
      <c r="H63" s="15">
        <v>0.10798193302637613</v>
      </c>
      <c r="I63" s="15">
        <v>0.79788456080286541</v>
      </c>
      <c r="J63" s="15">
        <v>0.10798193302637613</v>
      </c>
      <c r="K63" s="15">
        <v>0.10650697891920077</v>
      </c>
      <c r="L63" s="15">
        <v>0.78698604216159851</v>
      </c>
      <c r="M63" s="15">
        <v>0.10650697891920077</v>
      </c>
      <c r="P63"/>
    </row>
    <row r="64" spans="1:16" hidden="1" x14ac:dyDescent="0.25">
      <c r="A64" s="17">
        <v>8</v>
      </c>
      <c r="B64" s="17">
        <v>3</v>
      </c>
      <c r="C64" s="17" t="s">
        <v>95</v>
      </c>
      <c r="D64" s="21">
        <v>4</v>
      </c>
      <c r="E64" s="17">
        <v>3</v>
      </c>
      <c r="F64" s="17">
        <v>4</v>
      </c>
      <c r="G64" s="17">
        <v>5</v>
      </c>
      <c r="H64" s="15">
        <v>0.10798193302637613</v>
      </c>
      <c r="I64" s="15">
        <v>0.79788456080286541</v>
      </c>
      <c r="J64" s="15">
        <v>0.10798193302637613</v>
      </c>
      <c r="K64" s="15">
        <v>0.10650697891920077</v>
      </c>
      <c r="L64" s="15">
        <v>0.78698604216159851</v>
      </c>
      <c r="M64" s="15">
        <v>0.10650697891920077</v>
      </c>
      <c r="P64"/>
    </row>
    <row r="65" spans="1:16" x14ac:dyDescent="0.25">
      <c r="A65" s="2">
        <v>8</v>
      </c>
      <c r="B65" s="2">
        <v>1</v>
      </c>
      <c r="C65" s="2" t="s">
        <v>96</v>
      </c>
      <c r="D65" s="22">
        <v>6</v>
      </c>
      <c r="E65" s="2">
        <v>5</v>
      </c>
      <c r="F65" s="2">
        <v>6</v>
      </c>
      <c r="G65" s="2">
        <v>7</v>
      </c>
      <c r="H65" s="16">
        <v>0.10798193302637613</v>
      </c>
      <c r="I65" s="16">
        <v>0.79788456080286541</v>
      </c>
      <c r="J65" s="16">
        <v>0.10798193302637613</v>
      </c>
      <c r="K65" s="16">
        <v>0.10650697891920077</v>
      </c>
      <c r="L65" s="16">
        <v>0.78698604216159851</v>
      </c>
      <c r="M65" s="16">
        <v>0.10650697891920077</v>
      </c>
      <c r="P65"/>
    </row>
    <row r="66" spans="1:16" x14ac:dyDescent="0.25">
      <c r="A66" s="2">
        <v>8</v>
      </c>
      <c r="B66" s="2">
        <v>2</v>
      </c>
      <c r="C66" s="2" t="s">
        <v>96</v>
      </c>
      <c r="D66" s="22">
        <v>6</v>
      </c>
      <c r="E66" s="2">
        <v>5</v>
      </c>
      <c r="F66" s="2">
        <v>6</v>
      </c>
      <c r="G66" s="2">
        <v>7</v>
      </c>
      <c r="H66" s="16">
        <v>0.10798193302637613</v>
      </c>
      <c r="I66" s="16">
        <v>0.79788456080286541</v>
      </c>
      <c r="J66" s="16">
        <v>0.10798193302637613</v>
      </c>
      <c r="K66" s="16">
        <v>0.10650697891920077</v>
      </c>
      <c r="L66" s="16">
        <v>0.78698604216159851</v>
      </c>
      <c r="M66" s="16">
        <v>0.10650697891920077</v>
      </c>
      <c r="P66"/>
    </row>
    <row r="67" spans="1:16" hidden="1" x14ac:dyDescent="0.25">
      <c r="A67" s="17">
        <v>9</v>
      </c>
      <c r="B67" s="17">
        <v>1</v>
      </c>
      <c r="C67" s="17" t="s">
        <v>94</v>
      </c>
      <c r="D67" s="21">
        <v>10</v>
      </c>
      <c r="E67" s="17">
        <v>9</v>
      </c>
      <c r="F67" s="17">
        <v>10</v>
      </c>
      <c r="G67" s="17" t="s">
        <v>106</v>
      </c>
      <c r="H67" s="15">
        <v>0.10798193302637613</v>
      </c>
      <c r="I67" s="15">
        <v>0.79788456080286541</v>
      </c>
      <c r="J67" s="15" t="s">
        <v>106</v>
      </c>
      <c r="K67" s="15">
        <v>0.11920292202211756</v>
      </c>
      <c r="L67" s="15">
        <v>0.88079707797788243</v>
      </c>
      <c r="M67" s="15" t="s">
        <v>106</v>
      </c>
      <c r="P67"/>
    </row>
    <row r="68" spans="1:16" hidden="1" x14ac:dyDescent="0.25">
      <c r="A68" s="17">
        <v>9</v>
      </c>
      <c r="B68" s="17">
        <v>2</v>
      </c>
      <c r="C68" s="17" t="s">
        <v>94</v>
      </c>
      <c r="D68" s="21">
        <v>9</v>
      </c>
      <c r="E68" s="17">
        <v>8</v>
      </c>
      <c r="F68" s="17">
        <v>9</v>
      </c>
      <c r="G68" s="17">
        <v>10</v>
      </c>
      <c r="H68" s="15">
        <v>0.10798193302637613</v>
      </c>
      <c r="I68" s="15">
        <v>0.79788456080286541</v>
      </c>
      <c r="J68" s="15">
        <v>0.10798193302637613</v>
      </c>
      <c r="K68" s="15">
        <v>0.10650697891920077</v>
      </c>
      <c r="L68" s="15">
        <v>0.78698604216159851</v>
      </c>
      <c r="M68" s="15">
        <v>0.10650697891920077</v>
      </c>
      <c r="P68"/>
    </row>
    <row r="69" spans="1:16" hidden="1" x14ac:dyDescent="0.25">
      <c r="A69" s="17">
        <v>9</v>
      </c>
      <c r="B69" s="17">
        <v>3</v>
      </c>
      <c r="C69" s="17" t="s">
        <v>94</v>
      </c>
      <c r="D69" s="21">
        <v>9</v>
      </c>
      <c r="E69" s="17">
        <v>8</v>
      </c>
      <c r="F69" s="17">
        <v>9</v>
      </c>
      <c r="G69" s="17">
        <v>10</v>
      </c>
      <c r="H69" s="15">
        <v>0.10798193302637613</v>
      </c>
      <c r="I69" s="15">
        <v>0.79788456080286541</v>
      </c>
      <c r="J69" s="15">
        <v>0.10798193302637613</v>
      </c>
      <c r="K69" s="15">
        <v>0.10650697891920077</v>
      </c>
      <c r="L69" s="15">
        <v>0.78698604216159851</v>
      </c>
      <c r="M69" s="15">
        <v>0.10650697891920077</v>
      </c>
      <c r="P69"/>
    </row>
    <row r="70" spans="1:16" hidden="1" x14ac:dyDescent="0.25">
      <c r="A70" s="2">
        <v>9</v>
      </c>
      <c r="B70" s="2">
        <v>1</v>
      </c>
      <c r="C70" s="2" t="s">
        <v>95</v>
      </c>
      <c r="D70" s="22">
        <v>1</v>
      </c>
      <c r="E70" s="2" t="s">
        <v>106</v>
      </c>
      <c r="F70" s="2">
        <v>1</v>
      </c>
      <c r="G70" s="2">
        <v>2</v>
      </c>
      <c r="H70" s="16" t="s">
        <v>106</v>
      </c>
      <c r="I70" s="16">
        <v>0.79788456080286541</v>
      </c>
      <c r="J70" s="16">
        <v>0.10798193302637613</v>
      </c>
      <c r="K70" s="16" t="s">
        <v>106</v>
      </c>
      <c r="L70" s="16">
        <v>0.88079707797788243</v>
      </c>
      <c r="M70" s="16">
        <v>0.11920292202211756</v>
      </c>
      <c r="P70"/>
    </row>
    <row r="71" spans="1:16" hidden="1" x14ac:dyDescent="0.25">
      <c r="A71" s="2">
        <v>9</v>
      </c>
      <c r="B71" s="2">
        <v>2</v>
      </c>
      <c r="C71" s="2" t="s">
        <v>95</v>
      </c>
      <c r="D71" s="22">
        <v>1</v>
      </c>
      <c r="E71" s="2" t="s">
        <v>106</v>
      </c>
      <c r="F71" s="2">
        <v>1</v>
      </c>
      <c r="G71" s="2">
        <v>2</v>
      </c>
      <c r="H71" s="16" t="s">
        <v>106</v>
      </c>
      <c r="I71" s="16">
        <v>0.79788456080286541</v>
      </c>
      <c r="J71" s="16">
        <v>0.10798193302637613</v>
      </c>
      <c r="K71" s="16" t="s">
        <v>106</v>
      </c>
      <c r="L71" s="16">
        <v>0.88079707797788243</v>
      </c>
      <c r="M71" s="16">
        <v>0.11920292202211756</v>
      </c>
      <c r="P71"/>
    </row>
    <row r="72" spans="1:16" x14ac:dyDescent="0.25">
      <c r="A72" s="17">
        <v>9</v>
      </c>
      <c r="B72" s="17">
        <v>1</v>
      </c>
      <c r="C72" s="17" t="s">
        <v>96</v>
      </c>
      <c r="D72" s="21">
        <v>4</v>
      </c>
      <c r="E72" s="17">
        <v>3</v>
      </c>
      <c r="F72" s="17">
        <v>4</v>
      </c>
      <c r="G72" s="17">
        <v>5</v>
      </c>
      <c r="H72" s="15">
        <v>0.10798193302637613</v>
      </c>
      <c r="I72" s="15">
        <v>0.79788456080286541</v>
      </c>
      <c r="J72" s="15">
        <v>0.10798193302637613</v>
      </c>
      <c r="K72" s="15">
        <v>0.10650697891920077</v>
      </c>
      <c r="L72" s="15">
        <v>0.78698604216159851</v>
      </c>
      <c r="M72" s="15">
        <v>0.10650697891920077</v>
      </c>
      <c r="P72"/>
    </row>
    <row r="73" spans="1:16" x14ac:dyDescent="0.25">
      <c r="A73" s="17">
        <v>9</v>
      </c>
      <c r="B73" s="17">
        <v>2</v>
      </c>
      <c r="C73" s="17" t="s">
        <v>96</v>
      </c>
      <c r="D73" s="21">
        <v>6</v>
      </c>
      <c r="E73" s="17">
        <v>5</v>
      </c>
      <c r="F73" s="17">
        <v>6</v>
      </c>
      <c r="G73" s="17">
        <v>7</v>
      </c>
      <c r="H73" s="15">
        <v>0.10798193302637613</v>
      </c>
      <c r="I73" s="15">
        <v>0.79788456080286541</v>
      </c>
      <c r="J73" s="15">
        <v>0.10798193302637613</v>
      </c>
      <c r="K73" s="15">
        <v>0.10650697891920077</v>
      </c>
      <c r="L73" s="15">
        <v>0.78698604216159851</v>
      </c>
      <c r="M73" s="15">
        <v>0.10650697891920077</v>
      </c>
      <c r="P73"/>
    </row>
    <row r="74" spans="1:16" x14ac:dyDescent="0.25">
      <c r="A74" s="17">
        <v>9</v>
      </c>
      <c r="B74" s="17">
        <v>3</v>
      </c>
      <c r="C74" s="17" t="s">
        <v>96</v>
      </c>
      <c r="D74" s="21">
        <v>7</v>
      </c>
      <c r="E74" s="17">
        <v>6</v>
      </c>
      <c r="F74" s="17">
        <v>7</v>
      </c>
      <c r="G74" s="17">
        <v>8</v>
      </c>
      <c r="H74" s="15">
        <v>0.10798193302637613</v>
      </c>
      <c r="I74" s="15">
        <v>0.79788456080286541</v>
      </c>
      <c r="J74" s="15">
        <v>0.10798193302637613</v>
      </c>
      <c r="K74" s="15">
        <v>0.10650697891920077</v>
      </c>
      <c r="L74" s="15">
        <v>0.78698604216159851</v>
      </c>
      <c r="M74" s="15">
        <v>0.10650697891920077</v>
      </c>
      <c r="P74"/>
    </row>
    <row r="75" spans="1:16" hidden="1" x14ac:dyDescent="0.25">
      <c r="A75" s="2">
        <v>10</v>
      </c>
      <c r="B75" s="2">
        <v>1</v>
      </c>
      <c r="C75" s="2" t="s">
        <v>94</v>
      </c>
      <c r="D75" s="22">
        <v>7</v>
      </c>
      <c r="E75" s="2">
        <v>6</v>
      </c>
      <c r="F75" s="2">
        <v>7</v>
      </c>
      <c r="G75" s="2">
        <v>8</v>
      </c>
      <c r="H75" s="16">
        <v>0.10798193302637613</v>
      </c>
      <c r="I75" s="16">
        <v>0.79788456080286541</v>
      </c>
      <c r="J75" s="16">
        <v>0.10798193302637613</v>
      </c>
      <c r="K75" s="16">
        <v>0.10650697891920077</v>
      </c>
      <c r="L75" s="16">
        <v>0.78698604216159851</v>
      </c>
      <c r="M75" s="16">
        <v>0.10650697891920077</v>
      </c>
      <c r="P75"/>
    </row>
    <row r="76" spans="1:16" hidden="1" x14ac:dyDescent="0.25">
      <c r="A76" s="2">
        <v>10</v>
      </c>
      <c r="B76" s="2">
        <v>2</v>
      </c>
      <c r="C76" s="2" t="s">
        <v>94</v>
      </c>
      <c r="D76" s="22">
        <v>6</v>
      </c>
      <c r="E76" s="2">
        <v>5</v>
      </c>
      <c r="F76" s="2">
        <v>6</v>
      </c>
      <c r="G76" s="2">
        <v>7</v>
      </c>
      <c r="H76" s="16">
        <v>0.10798193302637613</v>
      </c>
      <c r="I76" s="16">
        <v>0.79788456080286541</v>
      </c>
      <c r="J76" s="16">
        <v>0.10798193302637613</v>
      </c>
      <c r="K76" s="16">
        <v>0.10650697891920077</v>
      </c>
      <c r="L76" s="16">
        <v>0.78698604216159851</v>
      </c>
      <c r="M76" s="16">
        <v>0.10650697891920077</v>
      </c>
      <c r="P76"/>
    </row>
    <row r="77" spans="1:16" hidden="1" x14ac:dyDescent="0.25">
      <c r="A77" s="2">
        <v>10</v>
      </c>
      <c r="B77" s="2">
        <v>3</v>
      </c>
      <c r="C77" s="2" t="s">
        <v>94</v>
      </c>
      <c r="D77" s="22">
        <v>8</v>
      </c>
      <c r="E77" s="2">
        <v>7</v>
      </c>
      <c r="F77" s="2">
        <v>8</v>
      </c>
      <c r="G77" s="2">
        <v>9</v>
      </c>
      <c r="H77" s="16">
        <v>0.10798193302637613</v>
      </c>
      <c r="I77" s="16">
        <v>0.79788456080286541</v>
      </c>
      <c r="J77" s="16">
        <v>0.10798193302637613</v>
      </c>
      <c r="K77" s="16">
        <v>0.10650697891920077</v>
      </c>
      <c r="L77" s="16">
        <v>0.78698604216159851</v>
      </c>
      <c r="M77" s="16">
        <v>0.10650697891920077</v>
      </c>
      <c r="P77"/>
    </row>
    <row r="78" spans="1:16" hidden="1" x14ac:dyDescent="0.25">
      <c r="A78" s="17">
        <v>10</v>
      </c>
      <c r="B78" s="17">
        <v>1</v>
      </c>
      <c r="C78" s="17" t="s">
        <v>95</v>
      </c>
      <c r="D78" s="21">
        <v>5</v>
      </c>
      <c r="E78" s="17">
        <v>4</v>
      </c>
      <c r="F78" s="17">
        <v>5</v>
      </c>
      <c r="G78" s="17">
        <v>6</v>
      </c>
      <c r="H78" s="15">
        <v>0.10798193302637613</v>
      </c>
      <c r="I78" s="15">
        <v>0.79788456080286541</v>
      </c>
      <c r="J78" s="15">
        <v>0.10798193302637613</v>
      </c>
      <c r="K78" s="15">
        <v>0.10650697891920077</v>
      </c>
      <c r="L78" s="15">
        <v>0.78698604216159851</v>
      </c>
      <c r="M78" s="15">
        <v>0.10650697891920077</v>
      </c>
      <c r="P78"/>
    </row>
    <row r="79" spans="1:16" hidden="1" x14ac:dyDescent="0.25">
      <c r="A79" s="17">
        <v>10</v>
      </c>
      <c r="B79" s="17">
        <v>2</v>
      </c>
      <c r="C79" s="17" t="s">
        <v>95</v>
      </c>
      <c r="D79" s="21">
        <v>6</v>
      </c>
      <c r="E79" s="17">
        <v>5</v>
      </c>
      <c r="F79" s="17">
        <v>6</v>
      </c>
      <c r="G79" s="17">
        <v>7</v>
      </c>
      <c r="H79" s="15">
        <v>0.10798193302637613</v>
      </c>
      <c r="I79" s="15">
        <v>0.79788456080286541</v>
      </c>
      <c r="J79" s="15">
        <v>0.10798193302637613</v>
      </c>
      <c r="K79" s="15">
        <v>0.10650697891920077</v>
      </c>
      <c r="L79" s="15">
        <v>0.78698604216159851</v>
      </c>
      <c r="M79" s="15">
        <v>0.10650697891920077</v>
      </c>
      <c r="P79"/>
    </row>
    <row r="80" spans="1:16" x14ac:dyDescent="0.25">
      <c r="A80" s="2">
        <v>10</v>
      </c>
      <c r="B80" s="2">
        <v>1</v>
      </c>
      <c r="C80" s="2" t="s">
        <v>96</v>
      </c>
      <c r="D80" s="22">
        <v>7</v>
      </c>
      <c r="E80" s="2">
        <v>6</v>
      </c>
      <c r="F80" s="2">
        <v>7</v>
      </c>
      <c r="G80" s="2">
        <v>8</v>
      </c>
      <c r="H80" s="16">
        <v>0.10798193302637613</v>
      </c>
      <c r="I80" s="16">
        <v>0.79788456080286541</v>
      </c>
      <c r="J80" s="16">
        <v>0.10798193302637613</v>
      </c>
      <c r="K80" s="16">
        <v>0.10650697891920077</v>
      </c>
      <c r="L80" s="16">
        <v>0.78698604216159851</v>
      </c>
      <c r="M80" s="16">
        <v>0.10650697891920077</v>
      </c>
      <c r="P80"/>
    </row>
    <row r="81" spans="1:16" x14ac:dyDescent="0.25">
      <c r="A81" s="2">
        <v>10</v>
      </c>
      <c r="B81" s="2">
        <v>2</v>
      </c>
      <c r="C81" s="2" t="s">
        <v>96</v>
      </c>
      <c r="D81" s="22">
        <v>5</v>
      </c>
      <c r="E81" s="2">
        <v>4</v>
      </c>
      <c r="F81" s="2">
        <v>5</v>
      </c>
      <c r="G81" s="2">
        <v>6</v>
      </c>
      <c r="H81" s="16">
        <v>0.10798193302637613</v>
      </c>
      <c r="I81" s="16">
        <v>0.79788456080286541</v>
      </c>
      <c r="J81" s="16">
        <v>0.10798193302637613</v>
      </c>
      <c r="K81" s="16">
        <v>0.10650697891920077</v>
      </c>
      <c r="L81" s="16">
        <v>0.78698604216159851</v>
      </c>
      <c r="M81" s="16">
        <v>0.10650697891920077</v>
      </c>
      <c r="P81"/>
    </row>
    <row r="82" spans="1:16" x14ac:dyDescent="0.25">
      <c r="A82" s="2">
        <v>10</v>
      </c>
      <c r="B82" s="2">
        <v>3</v>
      </c>
      <c r="C82" s="2" t="s">
        <v>96</v>
      </c>
      <c r="D82" s="22">
        <v>7</v>
      </c>
      <c r="E82" s="2">
        <v>6</v>
      </c>
      <c r="F82" s="2">
        <v>7</v>
      </c>
      <c r="G82" s="2">
        <v>8</v>
      </c>
      <c r="H82" s="16">
        <v>0.10798193302637613</v>
      </c>
      <c r="I82" s="16">
        <v>0.79788456080286541</v>
      </c>
      <c r="J82" s="16">
        <v>0.10798193302637613</v>
      </c>
      <c r="K82" s="16">
        <v>0.10650697891920077</v>
      </c>
      <c r="L82" s="16">
        <v>0.78698604216159851</v>
      </c>
      <c r="M82" s="16">
        <v>0.10650697891920077</v>
      </c>
      <c r="P82"/>
    </row>
    <row r="83" spans="1:16" hidden="1" x14ac:dyDescent="0.25">
      <c r="A83" s="17">
        <v>11</v>
      </c>
      <c r="B83" s="17">
        <v>1</v>
      </c>
      <c r="C83" s="17" t="s">
        <v>94</v>
      </c>
      <c r="D83" s="21">
        <v>5</v>
      </c>
      <c r="E83" s="17">
        <v>4</v>
      </c>
      <c r="F83" s="17">
        <v>5</v>
      </c>
      <c r="G83" s="17">
        <v>6</v>
      </c>
      <c r="H83" s="15">
        <v>0.10798193302637613</v>
      </c>
      <c r="I83" s="15">
        <v>0.79788456080286541</v>
      </c>
      <c r="J83" s="15">
        <v>0.10798193302637613</v>
      </c>
      <c r="K83" s="15">
        <v>0.10650697891920077</v>
      </c>
      <c r="L83" s="15">
        <v>0.78698604216159851</v>
      </c>
      <c r="M83" s="15">
        <v>0.10650697891920077</v>
      </c>
      <c r="P83"/>
    </row>
    <row r="84" spans="1:16" hidden="1" x14ac:dyDescent="0.25">
      <c r="A84" s="17">
        <v>11</v>
      </c>
      <c r="B84" s="17">
        <v>2</v>
      </c>
      <c r="C84" s="17" t="s">
        <v>94</v>
      </c>
      <c r="D84" s="21">
        <v>4</v>
      </c>
      <c r="E84" s="17">
        <v>3</v>
      </c>
      <c r="F84" s="17">
        <v>4</v>
      </c>
      <c r="G84" s="17">
        <v>5</v>
      </c>
      <c r="H84" s="15">
        <v>0.10798193302637613</v>
      </c>
      <c r="I84" s="15">
        <v>0.79788456080286541</v>
      </c>
      <c r="J84" s="15">
        <v>0.10798193302637613</v>
      </c>
      <c r="K84" s="15">
        <v>0.10650697891920077</v>
      </c>
      <c r="L84" s="15">
        <v>0.78698604216159851</v>
      </c>
      <c r="M84" s="15">
        <v>0.10650697891920077</v>
      </c>
      <c r="P84"/>
    </row>
    <row r="85" spans="1:16" hidden="1" x14ac:dyDescent="0.25">
      <c r="A85" s="2">
        <v>11</v>
      </c>
      <c r="B85" s="2">
        <v>1</v>
      </c>
      <c r="C85" s="2" t="s">
        <v>95</v>
      </c>
      <c r="D85" s="22">
        <v>6</v>
      </c>
      <c r="E85" s="2">
        <v>5</v>
      </c>
      <c r="F85" s="2">
        <v>6</v>
      </c>
      <c r="G85" s="2">
        <v>7</v>
      </c>
      <c r="H85" s="16">
        <v>0.10798193302637613</v>
      </c>
      <c r="I85" s="16">
        <v>0.79788456080286541</v>
      </c>
      <c r="J85" s="16">
        <v>0.10798193302637613</v>
      </c>
      <c r="K85" s="16">
        <v>0.10650697891920077</v>
      </c>
      <c r="L85" s="16">
        <v>0.78698604216159851</v>
      </c>
      <c r="M85" s="16">
        <v>0.10650697891920077</v>
      </c>
      <c r="P85"/>
    </row>
    <row r="86" spans="1:16" hidden="1" x14ac:dyDescent="0.25">
      <c r="A86" s="2">
        <v>11</v>
      </c>
      <c r="B86" s="2">
        <v>2</v>
      </c>
      <c r="C86" s="2" t="s">
        <v>95</v>
      </c>
      <c r="D86" s="22">
        <v>6</v>
      </c>
      <c r="E86" s="2">
        <v>5</v>
      </c>
      <c r="F86" s="2">
        <v>6</v>
      </c>
      <c r="G86" s="2">
        <v>7</v>
      </c>
      <c r="H86" s="16">
        <v>0.10798193302637613</v>
      </c>
      <c r="I86" s="16">
        <v>0.79788456080286541</v>
      </c>
      <c r="J86" s="16">
        <v>0.10798193302637613</v>
      </c>
      <c r="K86" s="16">
        <v>0.10650697891920077</v>
      </c>
      <c r="L86" s="16">
        <v>0.78698604216159851</v>
      </c>
      <c r="M86" s="16">
        <v>0.10650697891920077</v>
      </c>
      <c r="P86"/>
    </row>
    <row r="87" spans="1:16" x14ac:dyDescent="0.25">
      <c r="A87" s="17">
        <v>11</v>
      </c>
      <c r="B87" s="17">
        <v>1</v>
      </c>
      <c r="C87" s="17" t="s">
        <v>96</v>
      </c>
      <c r="D87" s="21">
        <v>7</v>
      </c>
      <c r="E87" s="17">
        <v>6</v>
      </c>
      <c r="F87" s="17">
        <v>7</v>
      </c>
      <c r="G87" s="17">
        <v>8</v>
      </c>
      <c r="H87" s="15">
        <v>0.10798193302637613</v>
      </c>
      <c r="I87" s="15">
        <v>0.79788456080286541</v>
      </c>
      <c r="J87" s="15">
        <v>0.10798193302637613</v>
      </c>
      <c r="K87" s="15">
        <v>0.10650697891920077</v>
      </c>
      <c r="L87" s="15">
        <v>0.78698604216159851</v>
      </c>
      <c r="M87" s="15">
        <v>0.10650697891920077</v>
      </c>
      <c r="P87"/>
    </row>
    <row r="88" spans="1:16" x14ac:dyDescent="0.25">
      <c r="A88" s="17">
        <v>11</v>
      </c>
      <c r="B88" s="17">
        <v>2</v>
      </c>
      <c r="C88" s="17" t="s">
        <v>96</v>
      </c>
      <c r="D88" s="21">
        <v>6</v>
      </c>
      <c r="E88" s="17">
        <v>5</v>
      </c>
      <c r="F88" s="17">
        <v>6</v>
      </c>
      <c r="G88" s="17">
        <v>7</v>
      </c>
      <c r="H88" s="15">
        <v>0.10798193302637613</v>
      </c>
      <c r="I88" s="15">
        <v>0.79788456080286541</v>
      </c>
      <c r="J88" s="15">
        <v>0.10798193302637613</v>
      </c>
      <c r="K88" s="15">
        <v>0.10650697891920077</v>
      </c>
      <c r="L88" s="15">
        <v>0.78698604216159851</v>
      </c>
      <c r="M88" s="15">
        <v>0.10650697891920077</v>
      </c>
      <c r="P88"/>
    </row>
    <row r="89" spans="1:16" x14ac:dyDescent="0.25">
      <c r="A89" s="17">
        <v>11</v>
      </c>
      <c r="B89" s="17">
        <v>3</v>
      </c>
      <c r="C89" s="17" t="s">
        <v>96</v>
      </c>
      <c r="D89" s="21">
        <v>6</v>
      </c>
      <c r="E89" s="17">
        <v>5</v>
      </c>
      <c r="F89" s="17">
        <v>6</v>
      </c>
      <c r="G89" s="17">
        <v>7</v>
      </c>
      <c r="H89" s="15">
        <v>0.10798193302637613</v>
      </c>
      <c r="I89" s="15">
        <v>0.79788456080286541</v>
      </c>
      <c r="J89" s="15">
        <v>0.10798193302637613</v>
      </c>
      <c r="K89" s="15">
        <v>0.10650697891920077</v>
      </c>
      <c r="L89" s="15">
        <v>0.78698604216159851</v>
      </c>
      <c r="M89" s="15">
        <v>0.10650697891920077</v>
      </c>
      <c r="P89"/>
    </row>
    <row r="90" spans="1:16" hidden="1" x14ac:dyDescent="0.25">
      <c r="A90" s="2">
        <v>12</v>
      </c>
      <c r="B90" s="2">
        <v>1</v>
      </c>
      <c r="C90" s="2" t="s">
        <v>94</v>
      </c>
      <c r="D90" s="22">
        <v>5</v>
      </c>
      <c r="E90" s="2">
        <v>4</v>
      </c>
      <c r="F90" s="2">
        <v>5</v>
      </c>
      <c r="G90" s="2">
        <v>6</v>
      </c>
      <c r="H90" s="16">
        <v>0.10798193302637613</v>
      </c>
      <c r="I90" s="16">
        <v>0.79788456080286541</v>
      </c>
      <c r="J90" s="16">
        <v>0.10798193302637613</v>
      </c>
      <c r="K90" s="16">
        <v>0.10650697891920077</v>
      </c>
      <c r="L90" s="16">
        <v>0.78698604216159851</v>
      </c>
      <c r="M90" s="16">
        <v>0.10650697891920077</v>
      </c>
      <c r="P90"/>
    </row>
    <row r="91" spans="1:16" hidden="1" x14ac:dyDescent="0.25">
      <c r="A91" s="2">
        <v>12</v>
      </c>
      <c r="B91" s="2">
        <v>2</v>
      </c>
      <c r="C91" s="2" t="s">
        <v>94</v>
      </c>
      <c r="D91" s="22">
        <v>3</v>
      </c>
      <c r="E91" s="2">
        <v>2</v>
      </c>
      <c r="F91" s="2">
        <v>3</v>
      </c>
      <c r="G91" s="2">
        <v>4</v>
      </c>
      <c r="H91" s="16">
        <v>0.10798193302637613</v>
      </c>
      <c r="I91" s="16">
        <v>0.79788456080286541</v>
      </c>
      <c r="J91" s="16">
        <v>0.10798193302637613</v>
      </c>
      <c r="K91" s="16">
        <v>0.10650697891920077</v>
      </c>
      <c r="L91" s="16">
        <v>0.78698604216159851</v>
      </c>
      <c r="M91" s="16">
        <v>0.10650697891920077</v>
      </c>
      <c r="P91"/>
    </row>
    <row r="92" spans="1:16" hidden="1" x14ac:dyDescent="0.25">
      <c r="A92" s="17">
        <v>12</v>
      </c>
      <c r="B92" s="17">
        <v>1</v>
      </c>
      <c r="C92" s="17" t="s">
        <v>95</v>
      </c>
      <c r="D92" s="21">
        <v>7</v>
      </c>
      <c r="E92" s="17">
        <v>6</v>
      </c>
      <c r="F92" s="17">
        <v>7</v>
      </c>
      <c r="G92" s="17">
        <v>8</v>
      </c>
      <c r="H92" s="15">
        <v>0.10798193302637613</v>
      </c>
      <c r="I92" s="15">
        <v>0.79788456080286541</v>
      </c>
      <c r="J92" s="15">
        <v>0.10798193302637613</v>
      </c>
      <c r="K92" s="15">
        <v>0.10650697891920077</v>
      </c>
      <c r="L92" s="15">
        <v>0.78698604216159851</v>
      </c>
      <c r="M92" s="15">
        <v>0.10650697891920077</v>
      </c>
      <c r="P92"/>
    </row>
    <row r="93" spans="1:16" hidden="1" x14ac:dyDescent="0.25">
      <c r="A93" s="17">
        <v>12</v>
      </c>
      <c r="B93" s="17">
        <v>2</v>
      </c>
      <c r="C93" s="17" t="s">
        <v>95</v>
      </c>
      <c r="D93" s="21">
        <v>5</v>
      </c>
      <c r="E93" s="17">
        <v>4</v>
      </c>
      <c r="F93" s="17">
        <v>5</v>
      </c>
      <c r="G93" s="17">
        <v>6</v>
      </c>
      <c r="H93" s="15">
        <v>0.10798193302637613</v>
      </c>
      <c r="I93" s="15">
        <v>0.79788456080286541</v>
      </c>
      <c r="J93" s="15">
        <v>0.10798193302637613</v>
      </c>
      <c r="K93" s="15">
        <v>0.10650697891920077</v>
      </c>
      <c r="L93" s="15">
        <v>0.78698604216159851</v>
      </c>
      <c r="M93" s="15">
        <v>0.10650697891920077</v>
      </c>
      <c r="P93"/>
    </row>
    <row r="94" spans="1:16" hidden="1" x14ac:dyDescent="0.25">
      <c r="A94" s="17">
        <v>12</v>
      </c>
      <c r="B94" s="17">
        <v>3</v>
      </c>
      <c r="C94" s="17" t="s">
        <v>95</v>
      </c>
      <c r="D94" s="21">
        <v>6</v>
      </c>
      <c r="E94" s="17">
        <v>5</v>
      </c>
      <c r="F94" s="17">
        <v>6</v>
      </c>
      <c r="G94" s="17">
        <v>7</v>
      </c>
      <c r="H94" s="15">
        <v>0.10798193302637613</v>
      </c>
      <c r="I94" s="15">
        <v>0.79788456080286541</v>
      </c>
      <c r="J94" s="15">
        <v>0.10798193302637613</v>
      </c>
      <c r="K94" s="15">
        <v>0.10650697891920077</v>
      </c>
      <c r="L94" s="15">
        <v>0.78698604216159851</v>
      </c>
      <c r="M94" s="15">
        <v>0.10650697891920077</v>
      </c>
      <c r="P94"/>
    </row>
    <row r="95" spans="1:16" x14ac:dyDescent="0.25">
      <c r="A95" s="2">
        <v>12</v>
      </c>
      <c r="B95" s="2">
        <v>1</v>
      </c>
      <c r="C95" s="2" t="s">
        <v>96</v>
      </c>
      <c r="D95" s="22">
        <v>6</v>
      </c>
      <c r="E95" s="2">
        <v>5</v>
      </c>
      <c r="F95" s="2">
        <v>6</v>
      </c>
      <c r="G95" s="2">
        <v>7</v>
      </c>
      <c r="H95" s="16">
        <v>0.10798193302637613</v>
      </c>
      <c r="I95" s="16">
        <v>0.79788456080286541</v>
      </c>
      <c r="J95" s="16">
        <v>0.10798193302637613</v>
      </c>
      <c r="K95" s="16">
        <v>0.10650697891920077</v>
      </c>
      <c r="L95" s="16">
        <v>0.78698604216159851</v>
      </c>
      <c r="M95" s="16">
        <v>0.10650697891920077</v>
      </c>
      <c r="P95"/>
    </row>
    <row r="96" spans="1:16" x14ac:dyDescent="0.25">
      <c r="A96" s="2">
        <v>12</v>
      </c>
      <c r="B96" s="2">
        <v>2</v>
      </c>
      <c r="C96" s="2" t="s">
        <v>96</v>
      </c>
      <c r="D96" s="22">
        <v>6</v>
      </c>
      <c r="E96" s="2">
        <v>5</v>
      </c>
      <c r="F96" s="2">
        <v>6</v>
      </c>
      <c r="G96" s="2">
        <v>7</v>
      </c>
      <c r="H96" s="16">
        <v>0.10798193302637613</v>
      </c>
      <c r="I96" s="16">
        <v>0.79788456080286541</v>
      </c>
      <c r="J96" s="16">
        <v>0.10798193302637613</v>
      </c>
      <c r="K96" s="16">
        <v>0.10650697891920077</v>
      </c>
      <c r="L96" s="16">
        <v>0.78698604216159851</v>
      </c>
      <c r="M96" s="16">
        <v>0.10650697891920077</v>
      </c>
      <c r="P96"/>
    </row>
    <row r="97" spans="1:16" x14ac:dyDescent="0.25">
      <c r="A97" s="2">
        <v>12</v>
      </c>
      <c r="B97" s="2">
        <v>3</v>
      </c>
      <c r="C97" s="2" t="s">
        <v>96</v>
      </c>
      <c r="D97" s="22">
        <v>7</v>
      </c>
      <c r="E97" s="2">
        <v>6</v>
      </c>
      <c r="F97" s="2">
        <v>7</v>
      </c>
      <c r="G97" s="2">
        <v>8</v>
      </c>
      <c r="H97" s="16">
        <v>0.10798193302637613</v>
      </c>
      <c r="I97" s="16">
        <v>0.79788456080286541</v>
      </c>
      <c r="J97" s="16">
        <v>0.10798193302637613</v>
      </c>
      <c r="K97" s="16">
        <v>0.10650697891920077</v>
      </c>
      <c r="L97" s="16">
        <v>0.78698604216159851</v>
      </c>
      <c r="M97" s="16">
        <v>0.10650697891920077</v>
      </c>
      <c r="P97"/>
    </row>
    <row r="98" spans="1:16" hidden="1" x14ac:dyDescent="0.25">
      <c r="A98" s="17">
        <v>13</v>
      </c>
      <c r="B98" s="17">
        <v>1</v>
      </c>
      <c r="C98" s="17" t="s">
        <v>94</v>
      </c>
      <c r="D98" s="21">
        <v>8</v>
      </c>
      <c r="E98" s="17">
        <v>7</v>
      </c>
      <c r="F98" s="17">
        <v>8</v>
      </c>
      <c r="G98" s="17">
        <v>9</v>
      </c>
      <c r="H98" s="15">
        <v>0.10798193302637613</v>
      </c>
      <c r="I98" s="15">
        <v>0.79788456080286541</v>
      </c>
      <c r="J98" s="15">
        <v>0.10798193302637613</v>
      </c>
      <c r="K98" s="15">
        <v>0.10650697891920077</v>
      </c>
      <c r="L98" s="15">
        <v>0.78698604216159851</v>
      </c>
      <c r="M98" s="15">
        <v>0.10650697891920077</v>
      </c>
      <c r="P98"/>
    </row>
    <row r="99" spans="1:16" hidden="1" x14ac:dyDescent="0.25">
      <c r="A99" s="17">
        <v>13</v>
      </c>
      <c r="B99" s="17">
        <v>2</v>
      </c>
      <c r="C99" s="17" t="s">
        <v>94</v>
      </c>
      <c r="D99" s="21">
        <v>9</v>
      </c>
      <c r="E99" s="17">
        <v>8</v>
      </c>
      <c r="F99" s="17">
        <v>9</v>
      </c>
      <c r="G99" s="17">
        <v>10</v>
      </c>
      <c r="H99" s="15">
        <v>0.10798193302637613</v>
      </c>
      <c r="I99" s="15">
        <v>0.79788456080286541</v>
      </c>
      <c r="J99" s="15">
        <v>0.10798193302637613</v>
      </c>
      <c r="K99" s="15">
        <v>0.10650697891920077</v>
      </c>
      <c r="L99" s="15">
        <v>0.78698604216159851</v>
      </c>
      <c r="M99" s="15">
        <v>0.10650697891920077</v>
      </c>
      <c r="P99"/>
    </row>
    <row r="100" spans="1:16" hidden="1" x14ac:dyDescent="0.25">
      <c r="A100" s="17">
        <v>13</v>
      </c>
      <c r="B100" s="17">
        <v>3</v>
      </c>
      <c r="C100" s="17" t="s">
        <v>94</v>
      </c>
      <c r="D100" s="21">
        <v>9</v>
      </c>
      <c r="E100" s="17">
        <v>8</v>
      </c>
      <c r="F100" s="17">
        <v>9</v>
      </c>
      <c r="G100" s="17">
        <v>10</v>
      </c>
      <c r="H100" s="15">
        <v>0.10798193302637613</v>
      </c>
      <c r="I100" s="15">
        <v>0.79788456080286541</v>
      </c>
      <c r="J100" s="15">
        <v>0.10798193302637613</v>
      </c>
      <c r="K100" s="15">
        <v>0.10650697891920077</v>
      </c>
      <c r="L100" s="15">
        <v>0.78698604216159851</v>
      </c>
      <c r="M100" s="15">
        <v>0.10650697891920077</v>
      </c>
      <c r="P100"/>
    </row>
    <row r="101" spans="1:16" hidden="1" x14ac:dyDescent="0.25">
      <c r="A101" s="2">
        <v>13</v>
      </c>
      <c r="B101" s="2">
        <v>1</v>
      </c>
      <c r="C101" s="2" t="s">
        <v>95</v>
      </c>
      <c r="D101" s="22">
        <v>5</v>
      </c>
      <c r="E101" s="2">
        <v>4</v>
      </c>
      <c r="F101" s="2">
        <v>5</v>
      </c>
      <c r="G101" s="2">
        <v>6</v>
      </c>
      <c r="H101" s="16">
        <v>0.10798193302637613</v>
      </c>
      <c r="I101" s="16">
        <v>0.79788456080286541</v>
      </c>
      <c r="J101" s="16">
        <v>0.10798193302637613</v>
      </c>
      <c r="K101" s="16">
        <v>0.10650697891920077</v>
      </c>
      <c r="L101" s="16">
        <v>0.78698604216159851</v>
      </c>
      <c r="M101" s="16">
        <v>0.10650697891920077</v>
      </c>
      <c r="P101"/>
    </row>
    <row r="102" spans="1:16" hidden="1" x14ac:dyDescent="0.25">
      <c r="A102" s="2">
        <v>13</v>
      </c>
      <c r="B102" s="2">
        <v>2</v>
      </c>
      <c r="C102" s="2" t="s">
        <v>95</v>
      </c>
      <c r="D102" s="22">
        <v>4</v>
      </c>
      <c r="E102" s="2">
        <v>3</v>
      </c>
      <c r="F102" s="2">
        <v>4</v>
      </c>
      <c r="G102" s="2">
        <v>5</v>
      </c>
      <c r="H102" s="16">
        <v>0.10798193302637613</v>
      </c>
      <c r="I102" s="16">
        <v>0.79788456080286541</v>
      </c>
      <c r="J102" s="16">
        <v>0.10798193302637613</v>
      </c>
      <c r="K102" s="16">
        <v>0.10650697891920077</v>
      </c>
      <c r="L102" s="16">
        <v>0.78698604216159851</v>
      </c>
      <c r="M102" s="16">
        <v>0.10650697891920077</v>
      </c>
      <c r="P102"/>
    </row>
    <row r="103" spans="1:16" hidden="1" x14ac:dyDescent="0.25">
      <c r="A103" s="2">
        <v>13</v>
      </c>
      <c r="B103" s="2">
        <v>3</v>
      </c>
      <c r="C103" s="2" t="s">
        <v>95</v>
      </c>
      <c r="D103" s="22">
        <v>4</v>
      </c>
      <c r="E103" s="2">
        <v>3</v>
      </c>
      <c r="F103" s="2">
        <v>4</v>
      </c>
      <c r="G103" s="2">
        <v>5</v>
      </c>
      <c r="H103" s="16">
        <v>0.10798193302637613</v>
      </c>
      <c r="I103" s="16">
        <v>0.79788456080286541</v>
      </c>
      <c r="J103" s="16">
        <v>0.10798193302637613</v>
      </c>
      <c r="K103" s="16">
        <v>0.10650697891920077</v>
      </c>
      <c r="L103" s="16">
        <v>0.78698604216159851</v>
      </c>
      <c r="M103" s="16">
        <v>0.10650697891920077</v>
      </c>
      <c r="P103"/>
    </row>
    <row r="104" spans="1:16" x14ac:dyDescent="0.25">
      <c r="A104" s="17">
        <v>13</v>
      </c>
      <c r="B104" s="17">
        <v>1</v>
      </c>
      <c r="C104" s="17" t="s">
        <v>96</v>
      </c>
      <c r="D104" s="21">
        <v>7</v>
      </c>
      <c r="E104" s="17">
        <v>6</v>
      </c>
      <c r="F104" s="17">
        <v>7</v>
      </c>
      <c r="G104" s="17">
        <v>8</v>
      </c>
      <c r="H104" s="15">
        <v>0.10798193302637613</v>
      </c>
      <c r="I104" s="15">
        <v>0.79788456080286541</v>
      </c>
      <c r="J104" s="15">
        <v>0.10798193302637613</v>
      </c>
      <c r="K104" s="15">
        <v>0.10650697891920077</v>
      </c>
      <c r="L104" s="15">
        <v>0.78698604216159851</v>
      </c>
      <c r="M104" s="15">
        <v>0.10650697891920077</v>
      </c>
      <c r="P104"/>
    </row>
    <row r="105" spans="1:16" x14ac:dyDescent="0.25">
      <c r="A105" s="17">
        <v>13</v>
      </c>
      <c r="B105" s="17">
        <v>2</v>
      </c>
      <c r="C105" s="17" t="s">
        <v>96</v>
      </c>
      <c r="D105" s="21">
        <v>8</v>
      </c>
      <c r="E105" s="17">
        <v>7</v>
      </c>
      <c r="F105" s="17">
        <v>8</v>
      </c>
      <c r="G105" s="17">
        <v>9</v>
      </c>
      <c r="H105" s="15">
        <v>0.10798193302637613</v>
      </c>
      <c r="I105" s="15">
        <v>0.79788456080286541</v>
      </c>
      <c r="J105" s="15">
        <v>0.10798193302637613</v>
      </c>
      <c r="K105" s="15">
        <v>0.10650697891920077</v>
      </c>
      <c r="L105" s="15">
        <v>0.78698604216159851</v>
      </c>
      <c r="M105" s="15">
        <v>0.10650697891920077</v>
      </c>
      <c r="P105"/>
    </row>
    <row r="106" spans="1:16" x14ac:dyDescent="0.25">
      <c r="A106" s="17">
        <v>13</v>
      </c>
      <c r="B106" s="17">
        <v>3</v>
      </c>
      <c r="C106" s="17" t="s">
        <v>96</v>
      </c>
      <c r="D106" s="21">
        <v>7</v>
      </c>
      <c r="E106" s="17">
        <v>6</v>
      </c>
      <c r="F106" s="17">
        <v>7</v>
      </c>
      <c r="G106" s="17">
        <v>8</v>
      </c>
      <c r="H106" s="15">
        <v>0.10798193302637613</v>
      </c>
      <c r="I106" s="15">
        <v>0.79788456080286541</v>
      </c>
      <c r="J106" s="15">
        <v>0.10798193302637613</v>
      </c>
      <c r="K106" s="15">
        <v>0.10650697891920077</v>
      </c>
      <c r="L106" s="15">
        <v>0.78698604216159851</v>
      </c>
      <c r="M106" s="15">
        <v>0.10650697891920077</v>
      </c>
      <c r="P106"/>
    </row>
    <row r="107" spans="1:16" hidden="1" x14ac:dyDescent="0.25">
      <c r="A107" s="2">
        <v>14</v>
      </c>
      <c r="B107" s="2">
        <v>1</v>
      </c>
      <c r="C107" s="2" t="s">
        <v>94</v>
      </c>
      <c r="D107" s="22">
        <v>8</v>
      </c>
      <c r="E107" s="2">
        <v>7</v>
      </c>
      <c r="F107" s="2">
        <v>8</v>
      </c>
      <c r="G107" s="2">
        <v>9</v>
      </c>
      <c r="H107" s="16">
        <v>0.10798193302637613</v>
      </c>
      <c r="I107" s="16">
        <v>0.79788456080286541</v>
      </c>
      <c r="J107" s="16">
        <v>0.10798193302637613</v>
      </c>
      <c r="K107" s="16">
        <v>0.10650697891920077</v>
      </c>
      <c r="L107" s="16">
        <v>0.78698604216159851</v>
      </c>
      <c r="M107" s="16">
        <v>0.10650697891920077</v>
      </c>
      <c r="P107"/>
    </row>
    <row r="108" spans="1:16" hidden="1" x14ac:dyDescent="0.25">
      <c r="A108" s="2">
        <v>14</v>
      </c>
      <c r="B108" s="2">
        <v>3</v>
      </c>
      <c r="C108" s="2" t="s">
        <v>94</v>
      </c>
      <c r="D108" s="22">
        <v>9</v>
      </c>
      <c r="E108" s="2">
        <v>8</v>
      </c>
      <c r="F108" s="2">
        <v>9</v>
      </c>
      <c r="G108" s="2">
        <v>10</v>
      </c>
      <c r="H108" s="16">
        <v>0.10798193302637613</v>
      </c>
      <c r="I108" s="16">
        <v>0.79788456080286541</v>
      </c>
      <c r="J108" s="16">
        <v>0.10798193302637613</v>
      </c>
      <c r="K108" s="16">
        <v>0.10650697891920077</v>
      </c>
      <c r="L108" s="16">
        <v>0.78698604216159851</v>
      </c>
      <c r="M108" s="16">
        <v>0.10650697891920077</v>
      </c>
      <c r="P108"/>
    </row>
    <row r="109" spans="1:16" hidden="1" x14ac:dyDescent="0.25">
      <c r="A109" s="17">
        <v>14</v>
      </c>
      <c r="B109" s="17">
        <v>1</v>
      </c>
      <c r="C109" s="17" t="s">
        <v>95</v>
      </c>
      <c r="D109" s="21">
        <v>1</v>
      </c>
      <c r="E109" s="17" t="s">
        <v>106</v>
      </c>
      <c r="F109" s="17">
        <v>1</v>
      </c>
      <c r="G109" s="17">
        <v>2</v>
      </c>
      <c r="H109" s="15" t="s">
        <v>106</v>
      </c>
      <c r="I109" s="15">
        <v>0.79788456080286541</v>
      </c>
      <c r="J109" s="15">
        <v>0.10798193302637613</v>
      </c>
      <c r="K109" s="15" t="s">
        <v>106</v>
      </c>
      <c r="L109" s="15">
        <v>0.88079707797788243</v>
      </c>
      <c r="M109" s="15">
        <v>0.11920292202211756</v>
      </c>
      <c r="P109"/>
    </row>
    <row r="110" spans="1:16" hidden="1" x14ac:dyDescent="0.25">
      <c r="A110" s="17">
        <v>14</v>
      </c>
      <c r="B110" s="17">
        <v>2</v>
      </c>
      <c r="C110" s="17" t="s">
        <v>95</v>
      </c>
      <c r="D110" s="21">
        <v>2</v>
      </c>
      <c r="E110" s="17">
        <v>1</v>
      </c>
      <c r="F110" s="17">
        <v>2</v>
      </c>
      <c r="G110" s="17">
        <v>3</v>
      </c>
      <c r="H110" s="15">
        <v>0.10798193302637613</v>
      </c>
      <c r="I110" s="15">
        <v>0.79788456080286541</v>
      </c>
      <c r="J110" s="15">
        <v>0.10798193302637613</v>
      </c>
      <c r="K110" s="15">
        <v>0.10650697891920077</v>
      </c>
      <c r="L110" s="15">
        <v>0.78698604216159851</v>
      </c>
      <c r="M110" s="15">
        <v>0.10650697891920077</v>
      </c>
      <c r="P110"/>
    </row>
    <row r="111" spans="1:16" hidden="1" x14ac:dyDescent="0.25">
      <c r="A111" s="17">
        <v>14</v>
      </c>
      <c r="B111" s="17">
        <v>3</v>
      </c>
      <c r="C111" s="17" t="s">
        <v>95</v>
      </c>
      <c r="D111" s="21">
        <v>4</v>
      </c>
      <c r="E111" s="17">
        <v>3</v>
      </c>
      <c r="F111" s="17">
        <v>4</v>
      </c>
      <c r="G111" s="17">
        <v>5</v>
      </c>
      <c r="H111" s="15">
        <v>0.10798193302637613</v>
      </c>
      <c r="I111" s="15">
        <v>0.79788456080286541</v>
      </c>
      <c r="J111" s="15">
        <v>0.10798193302637613</v>
      </c>
      <c r="K111" s="15">
        <v>0.10650697891920077</v>
      </c>
      <c r="L111" s="15">
        <v>0.78698604216159851</v>
      </c>
      <c r="M111" s="15">
        <v>0.10650697891920077</v>
      </c>
      <c r="P111"/>
    </row>
    <row r="112" spans="1:16" x14ac:dyDescent="0.25">
      <c r="A112" s="2">
        <v>14</v>
      </c>
      <c r="B112" s="2">
        <v>1</v>
      </c>
      <c r="C112" s="2" t="s">
        <v>96</v>
      </c>
      <c r="D112" s="22">
        <v>9</v>
      </c>
      <c r="E112" s="2">
        <v>8</v>
      </c>
      <c r="F112" s="2">
        <v>9</v>
      </c>
      <c r="G112" s="2">
        <v>10</v>
      </c>
      <c r="H112" s="16">
        <v>0.10798193302637613</v>
      </c>
      <c r="I112" s="16">
        <v>0.79788456080286541</v>
      </c>
      <c r="J112" s="16">
        <v>0.10798193302637613</v>
      </c>
      <c r="K112" s="16">
        <v>0.10650697891920077</v>
      </c>
      <c r="L112" s="16">
        <v>0.78698604216159851</v>
      </c>
      <c r="M112" s="16">
        <v>0.10650697891920077</v>
      </c>
      <c r="P112"/>
    </row>
    <row r="113" spans="1:16" x14ac:dyDescent="0.25">
      <c r="A113" s="2">
        <v>14</v>
      </c>
      <c r="B113" s="2">
        <v>2</v>
      </c>
      <c r="C113" s="2" t="s">
        <v>96</v>
      </c>
      <c r="D113" s="22">
        <v>8</v>
      </c>
      <c r="E113" s="2">
        <v>7</v>
      </c>
      <c r="F113" s="2">
        <v>8</v>
      </c>
      <c r="G113" s="2">
        <v>9</v>
      </c>
      <c r="H113" s="16">
        <v>0.10798193302637613</v>
      </c>
      <c r="I113" s="16">
        <v>0.79788456080286541</v>
      </c>
      <c r="J113" s="16">
        <v>0.10798193302637613</v>
      </c>
      <c r="K113" s="16">
        <v>0.10650697891920077</v>
      </c>
      <c r="L113" s="16">
        <v>0.78698604216159851</v>
      </c>
      <c r="M113" s="16">
        <v>0.10650697891920077</v>
      </c>
      <c r="P113"/>
    </row>
    <row r="114" spans="1:16" x14ac:dyDescent="0.25">
      <c r="A114" s="2">
        <v>14</v>
      </c>
      <c r="B114" s="2">
        <v>3</v>
      </c>
      <c r="C114" s="2" t="s">
        <v>96</v>
      </c>
      <c r="D114" s="22">
        <v>6</v>
      </c>
      <c r="E114" s="2">
        <v>5</v>
      </c>
      <c r="F114" s="2">
        <v>6</v>
      </c>
      <c r="G114" s="2">
        <v>7</v>
      </c>
      <c r="H114" s="16">
        <v>0.10798193302637613</v>
      </c>
      <c r="I114" s="16">
        <v>0.79788456080286541</v>
      </c>
      <c r="J114" s="16">
        <v>0.10798193302637613</v>
      </c>
      <c r="K114" s="16">
        <v>0.10650697891920077</v>
      </c>
      <c r="L114" s="16">
        <v>0.78698604216159851</v>
      </c>
      <c r="M114" s="16">
        <v>0.10650697891920077</v>
      </c>
      <c r="P114"/>
    </row>
    <row r="115" spans="1:16" hidden="1" x14ac:dyDescent="0.25">
      <c r="A115" s="17">
        <v>15</v>
      </c>
      <c r="B115" s="17">
        <v>1</v>
      </c>
      <c r="C115" s="17" t="s">
        <v>94</v>
      </c>
      <c r="D115" s="21">
        <v>8</v>
      </c>
      <c r="E115" s="17">
        <v>7</v>
      </c>
      <c r="F115" s="17">
        <v>8</v>
      </c>
      <c r="G115" s="17">
        <v>9</v>
      </c>
      <c r="H115" s="15">
        <v>0.10798193302637613</v>
      </c>
      <c r="I115" s="15">
        <v>0.79788456080286541</v>
      </c>
      <c r="J115" s="15">
        <v>0.10798193302637613</v>
      </c>
      <c r="K115" s="15">
        <v>0.10650697891920077</v>
      </c>
      <c r="L115" s="15">
        <v>0.78698604216159851</v>
      </c>
      <c r="M115" s="15">
        <v>0.10650697891920077</v>
      </c>
      <c r="P115"/>
    </row>
    <row r="116" spans="1:16" hidden="1" x14ac:dyDescent="0.25">
      <c r="A116" s="17">
        <v>15</v>
      </c>
      <c r="B116" s="17">
        <v>2</v>
      </c>
      <c r="C116" s="17" t="s">
        <v>94</v>
      </c>
      <c r="D116" s="21">
        <v>6</v>
      </c>
      <c r="E116" s="17">
        <v>5</v>
      </c>
      <c r="F116" s="17">
        <v>6</v>
      </c>
      <c r="G116" s="17">
        <v>7</v>
      </c>
      <c r="H116" s="15">
        <v>0.10798193302637613</v>
      </c>
      <c r="I116" s="15">
        <v>0.79788456080286541</v>
      </c>
      <c r="J116" s="15">
        <v>0.10798193302637613</v>
      </c>
      <c r="K116" s="15">
        <v>0.10650697891920077</v>
      </c>
      <c r="L116" s="15">
        <v>0.78698604216159851</v>
      </c>
      <c r="M116" s="15">
        <v>0.10650697891920077</v>
      </c>
      <c r="P116"/>
    </row>
    <row r="117" spans="1:16" hidden="1" x14ac:dyDescent="0.25">
      <c r="A117" s="17">
        <v>15</v>
      </c>
      <c r="B117" s="17">
        <v>3</v>
      </c>
      <c r="C117" s="17" t="s">
        <v>94</v>
      </c>
      <c r="D117" s="21">
        <v>7</v>
      </c>
      <c r="E117" s="17">
        <v>6</v>
      </c>
      <c r="F117" s="17">
        <v>7</v>
      </c>
      <c r="G117" s="17">
        <v>8</v>
      </c>
      <c r="H117" s="15">
        <v>0.10798193302637613</v>
      </c>
      <c r="I117" s="15">
        <v>0.79788456080286541</v>
      </c>
      <c r="J117" s="15">
        <v>0.10798193302637613</v>
      </c>
      <c r="K117" s="15">
        <v>0.10650697891920077</v>
      </c>
      <c r="L117" s="15">
        <v>0.78698604216159851</v>
      </c>
      <c r="M117" s="15">
        <v>0.10650697891920077</v>
      </c>
      <c r="P117"/>
    </row>
    <row r="118" spans="1:16" hidden="1" x14ac:dyDescent="0.25">
      <c r="A118" s="2">
        <v>15</v>
      </c>
      <c r="B118" s="2">
        <v>1</v>
      </c>
      <c r="C118" s="2" t="s">
        <v>95</v>
      </c>
      <c r="D118" s="22">
        <v>1</v>
      </c>
      <c r="E118" s="2" t="s">
        <v>106</v>
      </c>
      <c r="F118" s="2">
        <v>1</v>
      </c>
      <c r="G118" s="2">
        <v>2</v>
      </c>
      <c r="H118" s="16" t="s">
        <v>106</v>
      </c>
      <c r="I118" s="16">
        <v>0.79788456080286541</v>
      </c>
      <c r="J118" s="16">
        <v>0.10798193302637613</v>
      </c>
      <c r="K118" s="16" t="s">
        <v>106</v>
      </c>
      <c r="L118" s="16">
        <v>0.88079707797788243</v>
      </c>
      <c r="M118" s="16">
        <v>0.11920292202211756</v>
      </c>
      <c r="P118"/>
    </row>
    <row r="119" spans="1:16" hidden="1" x14ac:dyDescent="0.25">
      <c r="A119" s="2">
        <v>15</v>
      </c>
      <c r="B119" s="2">
        <v>2</v>
      </c>
      <c r="C119" s="2" t="s">
        <v>95</v>
      </c>
      <c r="D119" s="22">
        <v>3</v>
      </c>
      <c r="E119" s="2">
        <v>2</v>
      </c>
      <c r="F119" s="2">
        <v>3</v>
      </c>
      <c r="G119" s="2">
        <v>4</v>
      </c>
      <c r="H119" s="16">
        <v>0.10798193302637613</v>
      </c>
      <c r="I119" s="16">
        <v>0.79788456080286541</v>
      </c>
      <c r="J119" s="16">
        <v>0.10798193302637613</v>
      </c>
      <c r="K119" s="16">
        <v>0.10650697891920077</v>
      </c>
      <c r="L119" s="16">
        <v>0.78698604216159851</v>
      </c>
      <c r="M119" s="16">
        <v>0.10650697891920077</v>
      </c>
      <c r="P119"/>
    </row>
    <row r="120" spans="1:16" hidden="1" x14ac:dyDescent="0.25">
      <c r="A120" s="2">
        <v>15</v>
      </c>
      <c r="B120" s="2">
        <v>3</v>
      </c>
      <c r="C120" s="2" t="s">
        <v>95</v>
      </c>
      <c r="D120" s="22">
        <v>4</v>
      </c>
      <c r="E120" s="2">
        <v>3</v>
      </c>
      <c r="F120" s="2">
        <v>4</v>
      </c>
      <c r="G120" s="2">
        <v>5</v>
      </c>
      <c r="H120" s="16">
        <v>0.10798193302637613</v>
      </c>
      <c r="I120" s="16">
        <v>0.79788456080286541</v>
      </c>
      <c r="J120" s="16">
        <v>0.10798193302637613</v>
      </c>
      <c r="K120" s="16">
        <v>0.10650697891920077</v>
      </c>
      <c r="L120" s="16">
        <v>0.78698604216159851</v>
      </c>
      <c r="M120" s="16">
        <v>0.10650697891920077</v>
      </c>
      <c r="P120"/>
    </row>
    <row r="121" spans="1:16" x14ac:dyDescent="0.25">
      <c r="A121" s="17">
        <v>15</v>
      </c>
      <c r="B121" s="17">
        <v>1</v>
      </c>
      <c r="C121" s="17" t="s">
        <v>96</v>
      </c>
      <c r="D121" s="21">
        <v>8</v>
      </c>
      <c r="E121" s="17">
        <v>7</v>
      </c>
      <c r="F121" s="17">
        <v>8</v>
      </c>
      <c r="G121" s="17">
        <v>9</v>
      </c>
      <c r="H121" s="15">
        <v>0.10798193302637613</v>
      </c>
      <c r="I121" s="15">
        <v>0.79788456080286541</v>
      </c>
      <c r="J121" s="15">
        <v>0.10798193302637613</v>
      </c>
      <c r="K121" s="15">
        <v>0.10650697891920077</v>
      </c>
      <c r="L121" s="15">
        <v>0.78698604216159851</v>
      </c>
      <c r="M121" s="15">
        <v>0.10650697891920077</v>
      </c>
      <c r="P121"/>
    </row>
    <row r="122" spans="1:16" x14ac:dyDescent="0.25">
      <c r="A122" s="17">
        <v>15</v>
      </c>
      <c r="B122" s="17">
        <v>2</v>
      </c>
      <c r="C122" s="17" t="s">
        <v>96</v>
      </c>
      <c r="D122" s="21">
        <v>7</v>
      </c>
      <c r="E122" s="17">
        <v>6</v>
      </c>
      <c r="F122" s="17">
        <v>7</v>
      </c>
      <c r="G122" s="17">
        <v>8</v>
      </c>
      <c r="H122" s="15">
        <v>0.10798193302637613</v>
      </c>
      <c r="I122" s="15">
        <v>0.79788456080286541</v>
      </c>
      <c r="J122" s="15">
        <v>0.10798193302637613</v>
      </c>
      <c r="K122" s="15">
        <v>0.10650697891920077</v>
      </c>
      <c r="L122" s="15">
        <v>0.78698604216159851</v>
      </c>
      <c r="M122" s="15">
        <v>0.10650697891920077</v>
      </c>
      <c r="P122"/>
    </row>
    <row r="123" spans="1:16" x14ac:dyDescent="0.25">
      <c r="A123" s="17">
        <v>15</v>
      </c>
      <c r="B123" s="17">
        <v>3</v>
      </c>
      <c r="C123" s="17" t="s">
        <v>96</v>
      </c>
      <c r="D123" s="21">
        <v>7</v>
      </c>
      <c r="E123" s="17">
        <v>6</v>
      </c>
      <c r="F123" s="17">
        <v>7</v>
      </c>
      <c r="G123" s="17">
        <v>8</v>
      </c>
      <c r="H123" s="15">
        <v>0.10798193302637613</v>
      </c>
      <c r="I123" s="15">
        <v>0.79788456080286541</v>
      </c>
      <c r="J123" s="15">
        <v>0.10798193302637613</v>
      </c>
      <c r="K123" s="15">
        <v>0.10650697891920077</v>
      </c>
      <c r="L123" s="15">
        <v>0.78698604216159851</v>
      </c>
      <c r="M123" s="15">
        <v>0.10650697891920077</v>
      </c>
      <c r="P123"/>
    </row>
    <row r="124" spans="1:16" hidden="1" x14ac:dyDescent="0.25">
      <c r="A124" s="2">
        <v>16</v>
      </c>
      <c r="B124" s="2">
        <v>1</v>
      </c>
      <c r="C124" s="2" t="s">
        <v>94</v>
      </c>
      <c r="D124" s="22">
        <v>2</v>
      </c>
      <c r="E124" s="2">
        <v>1</v>
      </c>
      <c r="F124" s="2">
        <v>2</v>
      </c>
      <c r="G124" s="2">
        <v>3</v>
      </c>
      <c r="H124" s="16">
        <v>0.10798193302637613</v>
      </c>
      <c r="I124" s="16">
        <v>0.79788456080286541</v>
      </c>
      <c r="J124" s="16">
        <v>0.10798193302637613</v>
      </c>
      <c r="K124" s="16">
        <v>0.10650697891920077</v>
      </c>
      <c r="L124" s="16">
        <v>0.78698604216159851</v>
      </c>
      <c r="M124" s="16">
        <v>0.10650697891920077</v>
      </c>
      <c r="P124"/>
    </row>
    <row r="125" spans="1:16" hidden="1" x14ac:dyDescent="0.25">
      <c r="A125" s="2">
        <v>16</v>
      </c>
      <c r="B125" s="2">
        <v>2</v>
      </c>
      <c r="C125" s="2" t="s">
        <v>94</v>
      </c>
      <c r="D125" s="22">
        <v>4</v>
      </c>
      <c r="E125" s="2">
        <v>3</v>
      </c>
      <c r="F125" s="2">
        <v>4</v>
      </c>
      <c r="G125" s="2">
        <v>5</v>
      </c>
      <c r="H125" s="16">
        <v>0.10798193302637613</v>
      </c>
      <c r="I125" s="16">
        <v>0.79788456080286541</v>
      </c>
      <c r="J125" s="16">
        <v>0.10798193302637613</v>
      </c>
      <c r="K125" s="16">
        <v>0.10650697891920077</v>
      </c>
      <c r="L125" s="16">
        <v>0.78698604216159851</v>
      </c>
      <c r="M125" s="16">
        <v>0.10650697891920077</v>
      </c>
      <c r="P125"/>
    </row>
    <row r="126" spans="1:16" hidden="1" x14ac:dyDescent="0.25">
      <c r="A126" s="2">
        <v>16</v>
      </c>
      <c r="B126" s="2">
        <v>3</v>
      </c>
      <c r="C126" s="2" t="s">
        <v>94</v>
      </c>
      <c r="D126" s="22">
        <v>5</v>
      </c>
      <c r="E126" s="2">
        <v>4</v>
      </c>
      <c r="F126" s="2">
        <v>5</v>
      </c>
      <c r="G126" s="2">
        <v>6</v>
      </c>
      <c r="H126" s="16">
        <v>0.10798193302637613</v>
      </c>
      <c r="I126" s="16">
        <v>0.79788456080286541</v>
      </c>
      <c r="J126" s="16">
        <v>0.10798193302637613</v>
      </c>
      <c r="K126" s="16">
        <v>0.10650697891920077</v>
      </c>
      <c r="L126" s="16">
        <v>0.78698604216159851</v>
      </c>
      <c r="M126" s="16">
        <v>0.10650697891920077</v>
      </c>
      <c r="P126"/>
    </row>
    <row r="127" spans="1:16" hidden="1" x14ac:dyDescent="0.25">
      <c r="A127" s="17">
        <v>16</v>
      </c>
      <c r="B127" s="17">
        <v>1</v>
      </c>
      <c r="C127" s="17" t="s">
        <v>95</v>
      </c>
      <c r="D127" s="21">
        <v>10</v>
      </c>
      <c r="E127" s="17">
        <v>9</v>
      </c>
      <c r="F127" s="17">
        <v>10</v>
      </c>
      <c r="G127" s="17" t="s">
        <v>106</v>
      </c>
      <c r="H127" s="15">
        <v>0.10798193302637613</v>
      </c>
      <c r="I127" s="15">
        <v>0.79788456080286541</v>
      </c>
      <c r="J127" s="15" t="s">
        <v>106</v>
      </c>
      <c r="K127" s="15">
        <v>0.11920292202211756</v>
      </c>
      <c r="L127" s="15">
        <v>0.88079707797788243</v>
      </c>
      <c r="M127" s="15" t="s">
        <v>106</v>
      </c>
      <c r="P127"/>
    </row>
    <row r="128" spans="1:16" hidden="1" x14ac:dyDescent="0.25">
      <c r="A128" s="17">
        <v>16</v>
      </c>
      <c r="B128" s="17">
        <v>2</v>
      </c>
      <c r="C128" s="17" t="s">
        <v>95</v>
      </c>
      <c r="D128" s="21">
        <v>9</v>
      </c>
      <c r="E128" s="17">
        <v>8</v>
      </c>
      <c r="F128" s="17">
        <v>9</v>
      </c>
      <c r="G128" s="17">
        <v>10</v>
      </c>
      <c r="H128" s="15">
        <v>0.10798193302637613</v>
      </c>
      <c r="I128" s="15">
        <v>0.79788456080286541</v>
      </c>
      <c r="J128" s="15">
        <v>0.10798193302637613</v>
      </c>
      <c r="K128" s="15">
        <v>0.10650697891920077</v>
      </c>
      <c r="L128" s="15">
        <v>0.78698604216159851</v>
      </c>
      <c r="M128" s="15">
        <v>0.10650697891920077</v>
      </c>
      <c r="P128"/>
    </row>
    <row r="129" spans="1:16" x14ac:dyDescent="0.25">
      <c r="A129" s="2">
        <v>16</v>
      </c>
      <c r="B129" s="2">
        <v>1</v>
      </c>
      <c r="C129" s="2" t="s">
        <v>96</v>
      </c>
      <c r="D129" s="22">
        <v>9</v>
      </c>
      <c r="E129" s="2">
        <v>8</v>
      </c>
      <c r="F129" s="2">
        <v>9</v>
      </c>
      <c r="G129" s="2">
        <v>10</v>
      </c>
      <c r="H129" s="16">
        <v>0.10798193302637613</v>
      </c>
      <c r="I129" s="16">
        <v>0.79788456080286541</v>
      </c>
      <c r="J129" s="16">
        <v>0.10798193302637613</v>
      </c>
      <c r="K129" s="16">
        <v>0.10650697891920077</v>
      </c>
      <c r="L129" s="16">
        <v>0.78698604216159851</v>
      </c>
      <c r="M129" s="16">
        <v>0.10650697891920077</v>
      </c>
      <c r="P129"/>
    </row>
    <row r="130" spans="1:16" x14ac:dyDescent="0.25">
      <c r="A130" s="2">
        <v>16</v>
      </c>
      <c r="B130" s="2">
        <v>2</v>
      </c>
      <c r="C130" s="2" t="s">
        <v>96</v>
      </c>
      <c r="D130" s="22">
        <v>8</v>
      </c>
      <c r="E130" s="2">
        <v>7</v>
      </c>
      <c r="F130" s="2">
        <v>8</v>
      </c>
      <c r="G130" s="2">
        <v>9</v>
      </c>
      <c r="H130" s="16">
        <v>0.10798193302637613</v>
      </c>
      <c r="I130" s="16">
        <v>0.79788456080286541</v>
      </c>
      <c r="J130" s="16">
        <v>0.10798193302637613</v>
      </c>
      <c r="K130" s="16">
        <v>0.10650697891920077</v>
      </c>
      <c r="L130" s="16">
        <v>0.78698604216159851</v>
      </c>
      <c r="M130" s="16">
        <v>0.10650697891920077</v>
      </c>
      <c r="P130"/>
    </row>
    <row r="131" spans="1:16" x14ac:dyDescent="0.25">
      <c r="A131" s="2">
        <v>16</v>
      </c>
      <c r="B131" s="2">
        <v>3</v>
      </c>
      <c r="C131" s="2" t="s">
        <v>96</v>
      </c>
      <c r="D131" s="22">
        <v>6</v>
      </c>
      <c r="E131" s="2">
        <v>5</v>
      </c>
      <c r="F131" s="2">
        <v>6</v>
      </c>
      <c r="G131" s="2">
        <v>7</v>
      </c>
      <c r="H131" s="16">
        <v>0.10798193302637613</v>
      </c>
      <c r="I131" s="16">
        <v>0.79788456080286541</v>
      </c>
      <c r="J131" s="16">
        <v>0.10798193302637613</v>
      </c>
      <c r="K131" s="16">
        <v>0.10650697891920077</v>
      </c>
      <c r="L131" s="16">
        <v>0.78698604216159851</v>
      </c>
      <c r="M131" s="16">
        <v>0.10650697891920077</v>
      </c>
      <c r="P131"/>
    </row>
    <row r="132" spans="1:16" hidden="1" x14ac:dyDescent="0.25">
      <c r="A132" s="17">
        <v>17</v>
      </c>
      <c r="B132" s="17">
        <v>1</v>
      </c>
      <c r="C132" s="17" t="s">
        <v>94</v>
      </c>
      <c r="D132" s="21">
        <v>2</v>
      </c>
      <c r="E132" s="17">
        <v>1</v>
      </c>
      <c r="F132" s="17">
        <v>2</v>
      </c>
      <c r="G132" s="17">
        <v>3</v>
      </c>
      <c r="H132" s="15">
        <v>0.10798193302637613</v>
      </c>
      <c r="I132" s="15">
        <v>0.79788456080286541</v>
      </c>
      <c r="J132" s="15">
        <v>0.10798193302637613</v>
      </c>
      <c r="K132" s="15">
        <v>0.10650697891920077</v>
      </c>
      <c r="L132" s="15">
        <v>0.78698604216159851</v>
      </c>
      <c r="M132" s="15">
        <v>0.10650697891920077</v>
      </c>
      <c r="P132"/>
    </row>
    <row r="133" spans="1:16" hidden="1" x14ac:dyDescent="0.25">
      <c r="A133" s="17">
        <v>17</v>
      </c>
      <c r="B133" s="17">
        <v>2</v>
      </c>
      <c r="C133" s="17" t="s">
        <v>94</v>
      </c>
      <c r="D133" s="21">
        <v>2</v>
      </c>
      <c r="E133" s="17">
        <v>1</v>
      </c>
      <c r="F133" s="17">
        <v>2</v>
      </c>
      <c r="G133" s="17">
        <v>3</v>
      </c>
      <c r="H133" s="15">
        <v>0.10798193302637613</v>
      </c>
      <c r="I133" s="15">
        <v>0.79788456080286541</v>
      </c>
      <c r="J133" s="15">
        <v>0.10798193302637613</v>
      </c>
      <c r="K133" s="15">
        <v>0.10650697891920077</v>
      </c>
      <c r="L133" s="15">
        <v>0.78698604216159851</v>
      </c>
      <c r="M133" s="15">
        <v>0.10650697891920077</v>
      </c>
      <c r="P133"/>
    </row>
    <row r="134" spans="1:16" hidden="1" x14ac:dyDescent="0.25">
      <c r="A134" s="2">
        <v>17</v>
      </c>
      <c r="B134" s="2">
        <v>1</v>
      </c>
      <c r="C134" s="2" t="s">
        <v>95</v>
      </c>
      <c r="D134" s="22">
        <v>3</v>
      </c>
      <c r="E134" s="2">
        <v>2</v>
      </c>
      <c r="F134" s="2">
        <v>3</v>
      </c>
      <c r="G134" s="2">
        <v>4</v>
      </c>
      <c r="H134" s="16">
        <v>0.10798193302637613</v>
      </c>
      <c r="I134" s="16">
        <v>0.79788456080286541</v>
      </c>
      <c r="J134" s="16">
        <v>0.10798193302637613</v>
      </c>
      <c r="K134" s="16">
        <v>0.10650697891920077</v>
      </c>
      <c r="L134" s="16">
        <v>0.78698604216159851</v>
      </c>
      <c r="M134" s="16">
        <v>0.10650697891920077</v>
      </c>
      <c r="P134"/>
    </row>
    <row r="135" spans="1:16" hidden="1" x14ac:dyDescent="0.25">
      <c r="A135" s="2">
        <v>17</v>
      </c>
      <c r="B135" s="2">
        <v>2</v>
      </c>
      <c r="C135" s="2" t="s">
        <v>95</v>
      </c>
      <c r="D135" s="22">
        <v>5</v>
      </c>
      <c r="E135" s="2">
        <v>4</v>
      </c>
      <c r="F135" s="2">
        <v>5</v>
      </c>
      <c r="G135" s="2">
        <v>6</v>
      </c>
      <c r="H135" s="16">
        <v>0.10798193302637613</v>
      </c>
      <c r="I135" s="16">
        <v>0.79788456080286541</v>
      </c>
      <c r="J135" s="16">
        <v>0.10798193302637613</v>
      </c>
      <c r="K135" s="16">
        <v>0.10650697891920077</v>
      </c>
      <c r="L135" s="16">
        <v>0.78698604216159851</v>
      </c>
      <c r="M135" s="16">
        <v>0.10650697891920077</v>
      </c>
      <c r="P135"/>
    </row>
    <row r="136" spans="1:16" hidden="1" x14ac:dyDescent="0.25">
      <c r="A136" s="2">
        <v>17</v>
      </c>
      <c r="B136" s="2">
        <v>3</v>
      </c>
      <c r="C136" s="2" t="s">
        <v>95</v>
      </c>
      <c r="D136" s="22">
        <v>3</v>
      </c>
      <c r="E136" s="2">
        <v>2</v>
      </c>
      <c r="F136" s="2">
        <v>3</v>
      </c>
      <c r="G136" s="2">
        <v>4</v>
      </c>
      <c r="H136" s="16">
        <v>0.10798193302637613</v>
      </c>
      <c r="I136" s="16">
        <v>0.79788456080286541</v>
      </c>
      <c r="J136" s="16">
        <v>0.10798193302637613</v>
      </c>
      <c r="K136" s="16">
        <v>0.10650697891920077</v>
      </c>
      <c r="L136" s="16">
        <v>0.78698604216159851</v>
      </c>
      <c r="M136" s="16">
        <v>0.10650697891920077</v>
      </c>
      <c r="P136"/>
    </row>
    <row r="137" spans="1:16" x14ac:dyDescent="0.25">
      <c r="A137" s="17">
        <v>17</v>
      </c>
      <c r="B137" s="17">
        <v>1</v>
      </c>
      <c r="C137" s="17" t="s">
        <v>96</v>
      </c>
      <c r="D137" s="21">
        <v>8</v>
      </c>
      <c r="E137" s="17">
        <v>7</v>
      </c>
      <c r="F137" s="17">
        <v>8</v>
      </c>
      <c r="G137" s="17">
        <v>9</v>
      </c>
      <c r="H137" s="15">
        <v>0.10798193302637613</v>
      </c>
      <c r="I137" s="15">
        <v>0.79788456080286541</v>
      </c>
      <c r="J137" s="15">
        <v>0.10798193302637613</v>
      </c>
      <c r="K137" s="15">
        <v>0.10650697891920077</v>
      </c>
      <c r="L137" s="15">
        <v>0.78698604216159851</v>
      </c>
      <c r="M137" s="15">
        <v>0.10650697891920077</v>
      </c>
      <c r="P137"/>
    </row>
    <row r="138" spans="1:16" x14ac:dyDescent="0.25">
      <c r="A138" s="17">
        <v>17</v>
      </c>
      <c r="B138" s="17">
        <v>2</v>
      </c>
      <c r="C138" s="17" t="s">
        <v>96</v>
      </c>
      <c r="D138" s="21">
        <v>9</v>
      </c>
      <c r="E138" s="17">
        <v>8</v>
      </c>
      <c r="F138" s="17">
        <v>9</v>
      </c>
      <c r="G138" s="17">
        <v>10</v>
      </c>
      <c r="H138" s="15">
        <v>0.10798193302637613</v>
      </c>
      <c r="I138" s="15">
        <v>0.79788456080286541</v>
      </c>
      <c r="J138" s="15">
        <v>0.10798193302637613</v>
      </c>
      <c r="K138" s="15">
        <v>0.10650697891920077</v>
      </c>
      <c r="L138" s="15">
        <v>0.78698604216159851</v>
      </c>
      <c r="M138" s="15">
        <v>0.10650697891920077</v>
      </c>
      <c r="P138"/>
    </row>
    <row r="139" spans="1:16" x14ac:dyDescent="0.25">
      <c r="A139" s="17">
        <v>17</v>
      </c>
      <c r="B139" s="17">
        <v>3</v>
      </c>
      <c r="C139" s="17" t="s">
        <v>96</v>
      </c>
      <c r="D139" s="21">
        <v>7</v>
      </c>
      <c r="E139" s="17">
        <v>6</v>
      </c>
      <c r="F139" s="17">
        <v>7</v>
      </c>
      <c r="G139" s="17">
        <v>8</v>
      </c>
      <c r="H139" s="15">
        <v>0.10798193302637613</v>
      </c>
      <c r="I139" s="15">
        <v>0.79788456080286541</v>
      </c>
      <c r="J139" s="15">
        <v>0.10798193302637613</v>
      </c>
      <c r="K139" s="15">
        <v>0.10650697891920077</v>
      </c>
      <c r="L139" s="15">
        <v>0.78698604216159851</v>
      </c>
      <c r="M139" s="15">
        <v>0.10650697891920077</v>
      </c>
      <c r="P139"/>
    </row>
    <row r="140" spans="1:16" hidden="1" x14ac:dyDescent="0.25">
      <c r="A140" s="2">
        <v>18</v>
      </c>
      <c r="B140" s="2">
        <v>1</v>
      </c>
      <c r="C140" s="2" t="s">
        <v>94</v>
      </c>
      <c r="D140" s="22">
        <v>4</v>
      </c>
      <c r="E140" s="2">
        <v>3</v>
      </c>
      <c r="F140" s="2">
        <v>4</v>
      </c>
      <c r="G140" s="2">
        <v>5</v>
      </c>
      <c r="H140" s="16">
        <v>0.10798193302637613</v>
      </c>
      <c r="I140" s="16">
        <v>0.79788456080286541</v>
      </c>
      <c r="J140" s="16">
        <v>0.10798193302637613</v>
      </c>
      <c r="K140" s="16">
        <v>0.10650697891920077</v>
      </c>
      <c r="L140" s="16">
        <v>0.78698604216159851</v>
      </c>
      <c r="M140" s="16">
        <v>0.10650697891920077</v>
      </c>
      <c r="P140"/>
    </row>
    <row r="141" spans="1:16" hidden="1" x14ac:dyDescent="0.25">
      <c r="A141" s="2">
        <v>18</v>
      </c>
      <c r="B141" s="2">
        <v>2</v>
      </c>
      <c r="C141" s="2" t="s">
        <v>94</v>
      </c>
      <c r="D141" s="22">
        <v>5</v>
      </c>
      <c r="E141" s="2">
        <v>4</v>
      </c>
      <c r="F141" s="2">
        <v>5</v>
      </c>
      <c r="G141" s="2">
        <v>6</v>
      </c>
      <c r="H141" s="16">
        <v>0.10798193302637613</v>
      </c>
      <c r="I141" s="16">
        <v>0.79788456080286541</v>
      </c>
      <c r="J141" s="16">
        <v>0.10798193302637613</v>
      </c>
      <c r="K141" s="16">
        <v>0.10650697891920077</v>
      </c>
      <c r="L141" s="16">
        <v>0.78698604216159851</v>
      </c>
      <c r="M141" s="16">
        <v>0.10650697891920077</v>
      </c>
      <c r="P141"/>
    </row>
    <row r="142" spans="1:16" hidden="1" x14ac:dyDescent="0.25">
      <c r="A142" s="2">
        <v>18</v>
      </c>
      <c r="B142" s="2">
        <v>3</v>
      </c>
      <c r="C142" s="2" t="s">
        <v>94</v>
      </c>
      <c r="D142" s="22">
        <v>7</v>
      </c>
      <c r="E142" s="2">
        <v>6</v>
      </c>
      <c r="F142" s="2">
        <v>7</v>
      </c>
      <c r="G142" s="2">
        <v>8</v>
      </c>
      <c r="H142" s="16">
        <v>0.10798193302637613</v>
      </c>
      <c r="I142" s="16">
        <v>0.79788456080286541</v>
      </c>
      <c r="J142" s="16">
        <v>0.10798193302637613</v>
      </c>
      <c r="K142" s="16">
        <v>0.10650697891920077</v>
      </c>
      <c r="L142" s="16">
        <v>0.78698604216159851</v>
      </c>
      <c r="M142" s="16">
        <v>0.10650697891920077</v>
      </c>
      <c r="P142"/>
    </row>
    <row r="143" spans="1:16" hidden="1" x14ac:dyDescent="0.25">
      <c r="A143" s="17">
        <v>18</v>
      </c>
      <c r="B143" s="17">
        <v>1</v>
      </c>
      <c r="C143" s="17" t="s">
        <v>95</v>
      </c>
      <c r="D143" s="21">
        <v>5</v>
      </c>
      <c r="E143" s="17">
        <v>4</v>
      </c>
      <c r="F143" s="17">
        <v>5</v>
      </c>
      <c r="G143" s="17">
        <v>6</v>
      </c>
      <c r="H143" s="15">
        <v>0.10798193302637613</v>
      </c>
      <c r="I143" s="15">
        <v>0.79788456080286541</v>
      </c>
      <c r="J143" s="15">
        <v>0.10798193302637613</v>
      </c>
      <c r="K143" s="15">
        <v>0.10650697891920077</v>
      </c>
      <c r="L143" s="15">
        <v>0.78698604216159851</v>
      </c>
      <c r="M143" s="15">
        <v>0.10650697891920077</v>
      </c>
      <c r="P143"/>
    </row>
    <row r="144" spans="1:16" hidden="1" x14ac:dyDescent="0.25">
      <c r="A144" s="17">
        <v>18</v>
      </c>
      <c r="B144" s="17">
        <v>2</v>
      </c>
      <c r="C144" s="17" t="s">
        <v>95</v>
      </c>
      <c r="D144" s="21">
        <v>6</v>
      </c>
      <c r="E144" s="17">
        <v>5</v>
      </c>
      <c r="F144" s="17">
        <v>6</v>
      </c>
      <c r="G144" s="17">
        <v>7</v>
      </c>
      <c r="H144" s="15">
        <v>0.10798193302637613</v>
      </c>
      <c r="I144" s="15">
        <v>0.79788456080286541</v>
      </c>
      <c r="J144" s="15">
        <v>0.10798193302637613</v>
      </c>
      <c r="K144" s="15">
        <v>0.10650697891920077</v>
      </c>
      <c r="L144" s="15">
        <v>0.78698604216159851</v>
      </c>
      <c r="M144" s="15">
        <v>0.10650697891920077</v>
      </c>
      <c r="P144"/>
    </row>
    <row r="145" spans="1:16" hidden="1" x14ac:dyDescent="0.25">
      <c r="A145" s="17">
        <v>18</v>
      </c>
      <c r="B145" s="17">
        <v>3</v>
      </c>
      <c r="C145" s="17" t="s">
        <v>95</v>
      </c>
      <c r="D145" s="21">
        <v>6</v>
      </c>
      <c r="E145" s="17">
        <v>5</v>
      </c>
      <c r="F145" s="17">
        <v>6</v>
      </c>
      <c r="G145" s="17">
        <v>7</v>
      </c>
      <c r="H145" s="15">
        <v>0.10798193302637613</v>
      </c>
      <c r="I145" s="15">
        <v>0.79788456080286541</v>
      </c>
      <c r="J145" s="15">
        <v>0.10798193302637613</v>
      </c>
      <c r="K145" s="15">
        <v>0.10650697891920077</v>
      </c>
      <c r="L145" s="15">
        <v>0.78698604216159851</v>
      </c>
      <c r="M145" s="15">
        <v>0.10650697891920077</v>
      </c>
      <c r="P145"/>
    </row>
    <row r="146" spans="1:16" x14ac:dyDescent="0.25">
      <c r="A146" s="2">
        <v>18</v>
      </c>
      <c r="B146" s="2">
        <v>1</v>
      </c>
      <c r="C146" s="2" t="s">
        <v>96</v>
      </c>
      <c r="D146" s="22">
        <v>7</v>
      </c>
      <c r="E146" s="2">
        <v>6</v>
      </c>
      <c r="F146" s="2">
        <v>7</v>
      </c>
      <c r="G146" s="2">
        <v>8</v>
      </c>
      <c r="H146" s="16">
        <v>0.10798193302637613</v>
      </c>
      <c r="I146" s="16">
        <v>0.79788456080286541</v>
      </c>
      <c r="J146" s="16">
        <v>0.10798193302637613</v>
      </c>
      <c r="K146" s="16">
        <v>0.10650697891920077</v>
      </c>
      <c r="L146" s="16">
        <v>0.78698604216159851</v>
      </c>
      <c r="M146" s="16">
        <v>0.10650697891920077</v>
      </c>
      <c r="P146"/>
    </row>
    <row r="147" spans="1:16" x14ac:dyDescent="0.25">
      <c r="A147" s="2">
        <v>18</v>
      </c>
      <c r="B147" s="2">
        <v>2</v>
      </c>
      <c r="C147" s="2" t="s">
        <v>96</v>
      </c>
      <c r="D147" s="22">
        <v>9</v>
      </c>
      <c r="E147" s="2">
        <v>8</v>
      </c>
      <c r="F147" s="2">
        <v>9</v>
      </c>
      <c r="G147" s="2">
        <v>10</v>
      </c>
      <c r="H147" s="16">
        <v>0.10798193302637613</v>
      </c>
      <c r="I147" s="16">
        <v>0.79788456080286541</v>
      </c>
      <c r="J147" s="16">
        <v>0.10798193302637613</v>
      </c>
      <c r="K147" s="16">
        <v>0.10650697891920077</v>
      </c>
      <c r="L147" s="16">
        <v>0.78698604216159851</v>
      </c>
      <c r="M147" s="16">
        <v>0.10650697891920077</v>
      </c>
      <c r="P147"/>
    </row>
    <row r="148" spans="1:16" x14ac:dyDescent="0.25">
      <c r="A148" s="2">
        <v>18</v>
      </c>
      <c r="B148" s="2">
        <v>3</v>
      </c>
      <c r="C148" s="2" t="s">
        <v>96</v>
      </c>
      <c r="D148" s="22">
        <v>9</v>
      </c>
      <c r="E148" s="2">
        <v>8</v>
      </c>
      <c r="F148" s="2">
        <v>9</v>
      </c>
      <c r="G148" s="2">
        <v>10</v>
      </c>
      <c r="H148" s="16">
        <v>0.10798193302637613</v>
      </c>
      <c r="I148" s="16">
        <v>0.79788456080286541</v>
      </c>
      <c r="J148" s="16">
        <v>0.10798193302637613</v>
      </c>
      <c r="K148" s="16">
        <v>0.10650697891920077</v>
      </c>
      <c r="L148" s="16">
        <v>0.78698604216159851</v>
      </c>
      <c r="M148" s="16">
        <v>0.10650697891920077</v>
      </c>
      <c r="P148"/>
    </row>
    <row r="149" spans="1:16" hidden="1" x14ac:dyDescent="0.25">
      <c r="A149" s="17">
        <v>19</v>
      </c>
      <c r="B149" s="17">
        <v>1</v>
      </c>
      <c r="C149" s="17" t="s">
        <v>94</v>
      </c>
      <c r="D149" s="21">
        <v>5</v>
      </c>
      <c r="E149" s="17">
        <v>4</v>
      </c>
      <c r="F149" s="17">
        <v>5</v>
      </c>
      <c r="G149" s="17">
        <v>6</v>
      </c>
      <c r="H149" s="15">
        <v>0.10798193302637613</v>
      </c>
      <c r="I149" s="15">
        <v>0.79788456080286541</v>
      </c>
      <c r="J149" s="15">
        <v>0.10798193302637613</v>
      </c>
      <c r="K149" s="15">
        <v>0.10650697891920077</v>
      </c>
      <c r="L149" s="15">
        <v>0.78698604216159851</v>
      </c>
      <c r="M149" s="15">
        <v>0.10650697891920077</v>
      </c>
      <c r="P149"/>
    </row>
    <row r="150" spans="1:16" hidden="1" x14ac:dyDescent="0.25">
      <c r="A150" s="17">
        <v>19</v>
      </c>
      <c r="B150" s="17">
        <v>2</v>
      </c>
      <c r="C150" s="17" t="s">
        <v>94</v>
      </c>
      <c r="D150" s="21">
        <v>2</v>
      </c>
      <c r="E150" s="17">
        <v>1</v>
      </c>
      <c r="F150" s="17">
        <v>2</v>
      </c>
      <c r="G150" s="17">
        <v>3</v>
      </c>
      <c r="H150" s="15">
        <v>0.10798193302637613</v>
      </c>
      <c r="I150" s="15">
        <v>0.79788456080286541</v>
      </c>
      <c r="J150" s="15">
        <v>0.10798193302637613</v>
      </c>
      <c r="K150" s="15">
        <v>0.10650697891920077</v>
      </c>
      <c r="L150" s="15">
        <v>0.78698604216159851</v>
      </c>
      <c r="M150" s="15">
        <v>0.10650697891920077</v>
      </c>
      <c r="P150"/>
    </row>
    <row r="151" spans="1:16" hidden="1" x14ac:dyDescent="0.25">
      <c r="A151" s="17">
        <v>19</v>
      </c>
      <c r="B151" s="17">
        <v>3</v>
      </c>
      <c r="C151" s="17" t="s">
        <v>94</v>
      </c>
      <c r="D151" s="21">
        <v>4</v>
      </c>
      <c r="E151" s="17">
        <v>3</v>
      </c>
      <c r="F151" s="17">
        <v>4</v>
      </c>
      <c r="G151" s="17">
        <v>5</v>
      </c>
      <c r="H151" s="15">
        <v>0.10798193302637613</v>
      </c>
      <c r="I151" s="15">
        <v>0.79788456080286541</v>
      </c>
      <c r="J151" s="15">
        <v>0.10798193302637613</v>
      </c>
      <c r="K151" s="15">
        <v>0.10650697891920077</v>
      </c>
      <c r="L151" s="15">
        <v>0.78698604216159851</v>
      </c>
      <c r="M151" s="15">
        <v>0.10650697891920077</v>
      </c>
      <c r="P151"/>
    </row>
    <row r="152" spans="1:16" hidden="1" x14ac:dyDescent="0.25">
      <c r="A152" s="2">
        <v>19</v>
      </c>
      <c r="B152" s="2">
        <v>2</v>
      </c>
      <c r="C152" s="2" t="s">
        <v>95</v>
      </c>
      <c r="D152" s="22">
        <v>5</v>
      </c>
      <c r="E152" s="2">
        <v>4</v>
      </c>
      <c r="F152" s="2">
        <v>5</v>
      </c>
      <c r="G152" s="2">
        <v>6</v>
      </c>
      <c r="H152" s="16">
        <v>0.10798193302637613</v>
      </c>
      <c r="I152" s="16">
        <v>0.79788456080286541</v>
      </c>
      <c r="J152" s="16">
        <v>0.10798193302637613</v>
      </c>
      <c r="K152" s="16">
        <v>0.10650697891920077</v>
      </c>
      <c r="L152" s="16">
        <v>0.78698604216159851</v>
      </c>
      <c r="M152" s="16">
        <v>0.10650697891920077</v>
      </c>
      <c r="P152"/>
    </row>
    <row r="153" spans="1:16" hidden="1" x14ac:dyDescent="0.25">
      <c r="A153" s="2">
        <v>19</v>
      </c>
      <c r="B153" s="2">
        <v>3</v>
      </c>
      <c r="C153" s="2" t="s">
        <v>95</v>
      </c>
      <c r="D153" s="22">
        <v>5</v>
      </c>
      <c r="E153" s="2">
        <v>4</v>
      </c>
      <c r="F153" s="2">
        <v>5</v>
      </c>
      <c r="G153" s="2">
        <v>6</v>
      </c>
      <c r="H153" s="16">
        <v>0.10798193302637613</v>
      </c>
      <c r="I153" s="16">
        <v>0.79788456080286541</v>
      </c>
      <c r="J153" s="16">
        <v>0.10798193302637613</v>
      </c>
      <c r="K153" s="16">
        <v>0.10650697891920077</v>
      </c>
      <c r="L153" s="16">
        <v>0.78698604216159851</v>
      </c>
      <c r="M153" s="16">
        <v>0.10650697891920077</v>
      </c>
      <c r="P153"/>
    </row>
    <row r="154" spans="1:16" x14ac:dyDescent="0.25">
      <c r="A154" s="17">
        <v>19</v>
      </c>
      <c r="B154" s="17">
        <v>1</v>
      </c>
      <c r="C154" s="17" t="s">
        <v>96</v>
      </c>
      <c r="D154" s="21">
        <v>8</v>
      </c>
      <c r="E154" s="17">
        <v>7</v>
      </c>
      <c r="F154" s="17">
        <v>8</v>
      </c>
      <c r="G154" s="17">
        <v>9</v>
      </c>
      <c r="H154" s="15">
        <v>0.10798193302637613</v>
      </c>
      <c r="I154" s="15">
        <v>0.79788456080286541</v>
      </c>
      <c r="J154" s="15">
        <v>0.10798193302637613</v>
      </c>
      <c r="K154" s="15">
        <v>0.10650697891920077</v>
      </c>
      <c r="L154" s="15">
        <v>0.78698604216159851</v>
      </c>
      <c r="M154" s="15">
        <v>0.10650697891920077</v>
      </c>
      <c r="P154"/>
    </row>
    <row r="155" spans="1:16" x14ac:dyDescent="0.25">
      <c r="A155" s="17">
        <v>19</v>
      </c>
      <c r="B155" s="17">
        <v>2</v>
      </c>
      <c r="C155" s="17" t="s">
        <v>96</v>
      </c>
      <c r="D155" s="21">
        <v>8</v>
      </c>
      <c r="E155" s="17">
        <v>7</v>
      </c>
      <c r="F155" s="17">
        <v>8</v>
      </c>
      <c r="G155" s="17">
        <v>9</v>
      </c>
      <c r="H155" s="15">
        <v>0.10798193302637613</v>
      </c>
      <c r="I155" s="15">
        <v>0.79788456080286541</v>
      </c>
      <c r="J155" s="15">
        <v>0.10798193302637613</v>
      </c>
      <c r="K155" s="15">
        <v>0.10650697891920077</v>
      </c>
      <c r="L155" s="15">
        <v>0.78698604216159851</v>
      </c>
      <c r="M155" s="15">
        <v>0.10650697891920077</v>
      </c>
      <c r="P155"/>
    </row>
    <row r="156" spans="1:16" x14ac:dyDescent="0.25">
      <c r="A156" s="17">
        <v>19</v>
      </c>
      <c r="B156" s="17">
        <v>3</v>
      </c>
      <c r="C156" s="17" t="s">
        <v>96</v>
      </c>
      <c r="D156" s="21">
        <v>8</v>
      </c>
      <c r="E156" s="17">
        <v>7</v>
      </c>
      <c r="F156" s="17">
        <v>8</v>
      </c>
      <c r="G156" s="17">
        <v>9</v>
      </c>
      <c r="H156" s="15">
        <v>0.10798193302637613</v>
      </c>
      <c r="I156" s="15">
        <v>0.79788456080286541</v>
      </c>
      <c r="J156" s="15">
        <v>0.10798193302637613</v>
      </c>
      <c r="K156" s="15">
        <v>0.10650697891920077</v>
      </c>
      <c r="L156" s="15">
        <v>0.78698604216159851</v>
      </c>
      <c r="M156" s="15">
        <v>0.10650697891920077</v>
      </c>
      <c r="P156"/>
    </row>
    <row r="157" spans="1:16" hidden="1" x14ac:dyDescent="0.25">
      <c r="A157" s="2">
        <v>20</v>
      </c>
      <c r="B157" s="2">
        <v>1</v>
      </c>
      <c r="C157" s="2" t="s">
        <v>94</v>
      </c>
      <c r="D157" s="22">
        <v>1</v>
      </c>
      <c r="E157" s="2" t="s">
        <v>106</v>
      </c>
      <c r="F157" s="2">
        <v>1</v>
      </c>
      <c r="G157" s="2">
        <v>2</v>
      </c>
      <c r="H157" s="16" t="s">
        <v>106</v>
      </c>
      <c r="I157" s="16">
        <v>0.79788456080286541</v>
      </c>
      <c r="J157" s="16">
        <v>0.10798193302637613</v>
      </c>
      <c r="K157" s="16" t="s">
        <v>106</v>
      </c>
      <c r="L157" s="16">
        <v>0.88079707797788243</v>
      </c>
      <c r="M157" s="16">
        <v>0.11920292202211756</v>
      </c>
      <c r="P157"/>
    </row>
    <row r="158" spans="1:16" hidden="1" x14ac:dyDescent="0.25">
      <c r="A158" s="2">
        <v>20</v>
      </c>
      <c r="B158" s="2">
        <v>2</v>
      </c>
      <c r="C158" s="2" t="s">
        <v>94</v>
      </c>
      <c r="D158" s="22">
        <v>1</v>
      </c>
      <c r="E158" s="2" t="s">
        <v>106</v>
      </c>
      <c r="F158" s="2">
        <v>1</v>
      </c>
      <c r="G158" s="2">
        <v>2</v>
      </c>
      <c r="H158" s="16" t="s">
        <v>106</v>
      </c>
      <c r="I158" s="16">
        <v>0.79788456080286541</v>
      </c>
      <c r="J158" s="16">
        <v>0.10798193302637613</v>
      </c>
      <c r="K158" s="16" t="s">
        <v>106</v>
      </c>
      <c r="L158" s="16">
        <v>0.88079707797788243</v>
      </c>
      <c r="M158" s="16">
        <v>0.11920292202211756</v>
      </c>
      <c r="P158"/>
    </row>
    <row r="159" spans="1:16" hidden="1" x14ac:dyDescent="0.25">
      <c r="A159" s="17">
        <v>20</v>
      </c>
      <c r="B159" s="17">
        <v>2</v>
      </c>
      <c r="C159" s="17" t="s">
        <v>95</v>
      </c>
      <c r="D159" s="21">
        <v>4</v>
      </c>
      <c r="E159" s="17">
        <v>3</v>
      </c>
      <c r="F159" s="17">
        <v>4</v>
      </c>
      <c r="G159" s="17">
        <v>5</v>
      </c>
      <c r="H159" s="15">
        <v>0.10798193302637613</v>
      </c>
      <c r="I159" s="15">
        <v>0.79788456080286541</v>
      </c>
      <c r="J159" s="15">
        <v>0.10798193302637613</v>
      </c>
      <c r="K159" s="15">
        <v>0.10650697891920077</v>
      </c>
      <c r="L159" s="15">
        <v>0.78698604216159851</v>
      </c>
      <c r="M159" s="15">
        <v>0.10650697891920077</v>
      </c>
      <c r="P159"/>
    </row>
    <row r="160" spans="1:16" hidden="1" x14ac:dyDescent="0.25">
      <c r="A160" s="17">
        <v>20</v>
      </c>
      <c r="B160" s="17">
        <v>3</v>
      </c>
      <c r="C160" s="17" t="s">
        <v>95</v>
      </c>
      <c r="D160" s="21">
        <v>5</v>
      </c>
      <c r="E160" s="17">
        <v>4</v>
      </c>
      <c r="F160" s="17">
        <v>5</v>
      </c>
      <c r="G160" s="17">
        <v>6</v>
      </c>
      <c r="H160" s="15">
        <v>0.10798193302637613</v>
      </c>
      <c r="I160" s="15">
        <v>0.79788456080286541</v>
      </c>
      <c r="J160" s="15">
        <v>0.10798193302637613</v>
      </c>
      <c r="K160" s="15">
        <v>0.10650697891920077</v>
      </c>
      <c r="L160" s="15">
        <v>0.78698604216159851</v>
      </c>
      <c r="M160" s="15">
        <v>0.10650697891920077</v>
      </c>
      <c r="P160"/>
    </row>
    <row r="161" spans="1:16" x14ac:dyDescent="0.25">
      <c r="A161" s="2">
        <v>20</v>
      </c>
      <c r="B161" s="2">
        <v>1</v>
      </c>
      <c r="C161" s="2" t="s">
        <v>96</v>
      </c>
      <c r="D161" s="22">
        <v>8</v>
      </c>
      <c r="E161" s="2">
        <v>7</v>
      </c>
      <c r="F161" s="2">
        <v>8</v>
      </c>
      <c r="G161" s="2">
        <v>9</v>
      </c>
      <c r="H161" s="16">
        <v>0.10798193302637613</v>
      </c>
      <c r="I161" s="16">
        <v>0.79788456080286541</v>
      </c>
      <c r="J161" s="16">
        <v>0.10798193302637613</v>
      </c>
      <c r="K161" s="16">
        <v>0.10650697891920077</v>
      </c>
      <c r="L161" s="16">
        <v>0.78698604216159851</v>
      </c>
      <c r="M161" s="16">
        <v>0.10650697891920077</v>
      </c>
      <c r="P161"/>
    </row>
    <row r="162" spans="1:16" x14ac:dyDescent="0.25">
      <c r="A162" s="2">
        <v>20</v>
      </c>
      <c r="B162" s="2">
        <v>2</v>
      </c>
      <c r="C162" s="2" t="s">
        <v>96</v>
      </c>
      <c r="D162" s="22">
        <v>8</v>
      </c>
      <c r="E162" s="2">
        <v>7</v>
      </c>
      <c r="F162" s="2">
        <v>8</v>
      </c>
      <c r="G162" s="2">
        <v>9</v>
      </c>
      <c r="H162" s="16">
        <v>0.10798193302637613</v>
      </c>
      <c r="I162" s="16">
        <v>0.79788456080286541</v>
      </c>
      <c r="J162" s="16">
        <v>0.10798193302637613</v>
      </c>
      <c r="K162" s="16">
        <v>0.10650697891920077</v>
      </c>
      <c r="L162" s="16">
        <v>0.78698604216159851</v>
      </c>
      <c r="M162" s="16">
        <v>0.10650697891920077</v>
      </c>
      <c r="P162"/>
    </row>
    <row r="163" spans="1:16" x14ac:dyDescent="0.25">
      <c r="A163" s="2">
        <v>20</v>
      </c>
      <c r="B163" s="2">
        <v>3</v>
      </c>
      <c r="C163" s="2" t="s">
        <v>96</v>
      </c>
      <c r="D163" s="22">
        <v>7</v>
      </c>
      <c r="E163" s="2">
        <v>6</v>
      </c>
      <c r="F163" s="2">
        <v>7</v>
      </c>
      <c r="G163" s="2">
        <v>8</v>
      </c>
      <c r="H163" s="16">
        <v>0.10798193302637613</v>
      </c>
      <c r="I163" s="16">
        <v>0.79788456080286541</v>
      </c>
      <c r="J163" s="16">
        <v>0.10798193302637613</v>
      </c>
      <c r="K163" s="16">
        <v>0.10650697891920077</v>
      </c>
      <c r="L163" s="16">
        <v>0.78698604216159851</v>
      </c>
      <c r="M163" s="16">
        <v>0.10650697891920077</v>
      </c>
      <c r="P163"/>
    </row>
    <row r="164" spans="1:16" hidden="1" x14ac:dyDescent="0.25">
      <c r="A164" s="17">
        <v>21</v>
      </c>
      <c r="B164" s="17">
        <v>1</v>
      </c>
      <c r="C164" s="17" t="s">
        <v>94</v>
      </c>
      <c r="D164" s="21">
        <v>7</v>
      </c>
      <c r="E164" s="17">
        <v>6</v>
      </c>
      <c r="F164" s="17">
        <v>7</v>
      </c>
      <c r="G164" s="17">
        <v>8</v>
      </c>
      <c r="H164" s="15">
        <v>0.10798193302637613</v>
      </c>
      <c r="I164" s="15">
        <v>0.79788456080286541</v>
      </c>
      <c r="J164" s="15">
        <v>0.10798193302637613</v>
      </c>
      <c r="K164" s="15">
        <v>0.10650697891920077</v>
      </c>
      <c r="L164" s="15">
        <v>0.78698604216159851</v>
      </c>
      <c r="M164" s="15">
        <v>0.10650697891920077</v>
      </c>
      <c r="P164"/>
    </row>
    <row r="165" spans="1:16" hidden="1" x14ac:dyDescent="0.25">
      <c r="A165" s="17">
        <v>21</v>
      </c>
      <c r="B165" s="17">
        <v>2</v>
      </c>
      <c r="C165" s="17" t="s">
        <v>94</v>
      </c>
      <c r="D165" s="21">
        <v>5</v>
      </c>
      <c r="E165" s="17">
        <v>4</v>
      </c>
      <c r="F165" s="17">
        <v>5</v>
      </c>
      <c r="G165" s="17">
        <v>6</v>
      </c>
      <c r="H165" s="15">
        <v>0.10798193302637613</v>
      </c>
      <c r="I165" s="15">
        <v>0.79788456080286541</v>
      </c>
      <c r="J165" s="15">
        <v>0.10798193302637613</v>
      </c>
      <c r="K165" s="15">
        <v>0.10650697891920077</v>
      </c>
      <c r="L165" s="15">
        <v>0.78698604216159851</v>
      </c>
      <c r="M165" s="15">
        <v>0.10650697891920077</v>
      </c>
      <c r="P165"/>
    </row>
    <row r="166" spans="1:16" hidden="1" x14ac:dyDescent="0.25">
      <c r="A166" s="17">
        <v>21</v>
      </c>
      <c r="B166" s="17">
        <v>3</v>
      </c>
      <c r="C166" s="17" t="s">
        <v>94</v>
      </c>
      <c r="D166" s="21">
        <v>3</v>
      </c>
      <c r="E166" s="17">
        <v>2</v>
      </c>
      <c r="F166" s="17">
        <v>3</v>
      </c>
      <c r="G166" s="17">
        <v>4</v>
      </c>
      <c r="H166" s="15">
        <v>0.10798193302637613</v>
      </c>
      <c r="I166" s="15">
        <v>0.79788456080286541</v>
      </c>
      <c r="J166" s="15">
        <v>0.10798193302637613</v>
      </c>
      <c r="K166" s="15">
        <v>0.10650697891920077</v>
      </c>
      <c r="L166" s="15">
        <v>0.78698604216159851</v>
      </c>
      <c r="M166" s="15">
        <v>0.10650697891920077</v>
      </c>
      <c r="P166"/>
    </row>
    <row r="167" spans="1:16" hidden="1" x14ac:dyDescent="0.25">
      <c r="A167" s="2">
        <v>21</v>
      </c>
      <c r="B167" s="2">
        <v>1</v>
      </c>
      <c r="C167" s="2" t="s">
        <v>95</v>
      </c>
      <c r="D167" s="22">
        <v>10</v>
      </c>
      <c r="E167" s="2">
        <v>9</v>
      </c>
      <c r="F167" s="2">
        <v>10</v>
      </c>
      <c r="G167" s="2" t="s">
        <v>106</v>
      </c>
      <c r="H167" s="16">
        <v>0.10798193302637613</v>
      </c>
      <c r="I167" s="16">
        <v>0.79788456080286541</v>
      </c>
      <c r="J167" s="16" t="s">
        <v>106</v>
      </c>
      <c r="K167" s="16">
        <v>0.11920292202211756</v>
      </c>
      <c r="L167" s="16">
        <v>0.88079707797788243</v>
      </c>
      <c r="M167" s="16" t="s">
        <v>106</v>
      </c>
      <c r="P167"/>
    </row>
    <row r="168" spans="1:16" hidden="1" x14ac:dyDescent="0.25">
      <c r="A168" s="2">
        <v>21</v>
      </c>
      <c r="B168" s="2">
        <v>2</v>
      </c>
      <c r="C168" s="2" t="s">
        <v>95</v>
      </c>
      <c r="D168" s="22">
        <v>9</v>
      </c>
      <c r="E168" s="2">
        <v>8</v>
      </c>
      <c r="F168" s="2">
        <v>9</v>
      </c>
      <c r="G168" s="2">
        <v>10</v>
      </c>
      <c r="H168" s="16">
        <v>0.10798193302637613</v>
      </c>
      <c r="I168" s="16">
        <v>0.79788456080286541</v>
      </c>
      <c r="J168" s="16">
        <v>0.10798193302637613</v>
      </c>
      <c r="K168" s="16">
        <v>0.10650697891920077</v>
      </c>
      <c r="L168" s="16">
        <v>0.78698604216159851</v>
      </c>
      <c r="M168" s="16">
        <v>0.10650697891920077</v>
      </c>
      <c r="P168"/>
    </row>
    <row r="169" spans="1:16" x14ac:dyDescent="0.25">
      <c r="A169" s="17">
        <v>21</v>
      </c>
      <c r="B169" s="17">
        <v>1</v>
      </c>
      <c r="C169" s="17" t="s">
        <v>96</v>
      </c>
      <c r="D169" s="21">
        <v>7</v>
      </c>
      <c r="E169" s="17">
        <v>6</v>
      </c>
      <c r="F169" s="17">
        <v>7</v>
      </c>
      <c r="G169" s="17">
        <v>8</v>
      </c>
      <c r="H169" s="15">
        <v>0.10798193302637613</v>
      </c>
      <c r="I169" s="15">
        <v>0.79788456080286541</v>
      </c>
      <c r="J169" s="15">
        <v>0.10798193302637613</v>
      </c>
      <c r="K169" s="15">
        <v>0.10650697891920077</v>
      </c>
      <c r="L169" s="15">
        <v>0.78698604216159851</v>
      </c>
      <c r="M169" s="15">
        <v>0.10650697891920077</v>
      </c>
      <c r="P169"/>
    </row>
    <row r="170" spans="1:16" x14ac:dyDescent="0.25">
      <c r="A170" s="17">
        <v>21</v>
      </c>
      <c r="B170" s="17">
        <v>2</v>
      </c>
      <c r="C170" s="17" t="s">
        <v>96</v>
      </c>
      <c r="D170" s="21">
        <v>9</v>
      </c>
      <c r="E170" s="17">
        <v>8</v>
      </c>
      <c r="F170" s="17">
        <v>9</v>
      </c>
      <c r="G170" s="17">
        <v>10</v>
      </c>
      <c r="H170" s="15">
        <v>0.10798193302637613</v>
      </c>
      <c r="I170" s="15">
        <v>0.79788456080286541</v>
      </c>
      <c r="J170" s="15">
        <v>0.10798193302637613</v>
      </c>
      <c r="K170" s="15">
        <v>0.10650697891920077</v>
      </c>
      <c r="L170" s="15">
        <v>0.78698604216159851</v>
      </c>
      <c r="M170" s="15">
        <v>0.10650697891920077</v>
      </c>
      <c r="P170"/>
    </row>
    <row r="171" spans="1:16" x14ac:dyDescent="0.25">
      <c r="A171" s="17">
        <v>21</v>
      </c>
      <c r="B171" s="17">
        <v>3</v>
      </c>
      <c r="C171" s="17" t="s">
        <v>96</v>
      </c>
      <c r="D171" s="21">
        <v>8</v>
      </c>
      <c r="E171" s="17">
        <v>7</v>
      </c>
      <c r="F171" s="17">
        <v>8</v>
      </c>
      <c r="G171" s="17">
        <v>9</v>
      </c>
      <c r="H171" s="15">
        <v>0.10798193302637613</v>
      </c>
      <c r="I171" s="15">
        <v>0.79788456080286541</v>
      </c>
      <c r="J171" s="15">
        <v>0.10798193302637613</v>
      </c>
      <c r="K171" s="15">
        <v>0.10650697891920077</v>
      </c>
      <c r="L171" s="15">
        <v>0.78698604216159851</v>
      </c>
      <c r="M171" s="15">
        <v>0.10650697891920077</v>
      </c>
      <c r="P171"/>
    </row>
    <row r="172" spans="1:16" hidden="1" x14ac:dyDescent="0.25">
      <c r="A172" s="2">
        <v>22</v>
      </c>
      <c r="B172" s="2">
        <v>1</v>
      </c>
      <c r="C172" s="2" t="s">
        <v>94</v>
      </c>
      <c r="D172" s="22">
        <v>10</v>
      </c>
      <c r="E172" s="2">
        <v>9</v>
      </c>
      <c r="F172" s="2">
        <v>10</v>
      </c>
      <c r="G172" s="2" t="s">
        <v>106</v>
      </c>
      <c r="H172" s="16">
        <v>0.10798193302637613</v>
      </c>
      <c r="I172" s="16">
        <v>0.79788456080286541</v>
      </c>
      <c r="J172" s="16" t="s">
        <v>106</v>
      </c>
      <c r="K172" s="16">
        <v>0.11920292202211756</v>
      </c>
      <c r="L172" s="16">
        <v>0.88079707797788243</v>
      </c>
      <c r="M172" s="16" t="s">
        <v>106</v>
      </c>
      <c r="P172"/>
    </row>
    <row r="173" spans="1:16" hidden="1" x14ac:dyDescent="0.25">
      <c r="A173" s="2">
        <v>22</v>
      </c>
      <c r="B173" s="2">
        <v>2</v>
      </c>
      <c r="C173" s="2" t="s">
        <v>94</v>
      </c>
      <c r="D173" s="22">
        <v>8</v>
      </c>
      <c r="E173" s="2">
        <v>7</v>
      </c>
      <c r="F173" s="2">
        <v>8</v>
      </c>
      <c r="G173" s="2">
        <v>9</v>
      </c>
      <c r="H173" s="16">
        <v>0.10798193302637613</v>
      </c>
      <c r="I173" s="16">
        <v>0.79788456080286541</v>
      </c>
      <c r="J173" s="16">
        <v>0.10798193302637613</v>
      </c>
      <c r="K173" s="16">
        <v>0.10650697891920077</v>
      </c>
      <c r="L173" s="16">
        <v>0.78698604216159851</v>
      </c>
      <c r="M173" s="16">
        <v>0.10650697891920077</v>
      </c>
      <c r="P173"/>
    </row>
    <row r="174" spans="1:16" hidden="1" x14ac:dyDescent="0.25">
      <c r="A174" s="2">
        <v>22</v>
      </c>
      <c r="B174" s="2">
        <v>3</v>
      </c>
      <c r="C174" s="2" t="s">
        <v>94</v>
      </c>
      <c r="D174" s="22">
        <v>7</v>
      </c>
      <c r="E174" s="2">
        <v>6</v>
      </c>
      <c r="F174" s="2">
        <v>7</v>
      </c>
      <c r="G174" s="2">
        <v>8</v>
      </c>
      <c r="H174" s="16">
        <v>0.10798193302637613</v>
      </c>
      <c r="I174" s="16">
        <v>0.79788456080286541</v>
      </c>
      <c r="J174" s="16">
        <v>0.10798193302637613</v>
      </c>
      <c r="K174" s="16">
        <v>0.10650697891920077</v>
      </c>
      <c r="L174" s="16">
        <v>0.78698604216159851</v>
      </c>
      <c r="M174" s="16">
        <v>0.10650697891920077</v>
      </c>
      <c r="P174"/>
    </row>
    <row r="175" spans="1:16" x14ac:dyDescent="0.25">
      <c r="A175" s="2">
        <v>22</v>
      </c>
      <c r="B175" s="2">
        <v>1</v>
      </c>
      <c r="C175" s="2" t="s">
        <v>96</v>
      </c>
      <c r="D175" s="22">
        <v>7</v>
      </c>
      <c r="E175" s="2">
        <v>6</v>
      </c>
      <c r="F175" s="2">
        <v>7</v>
      </c>
      <c r="G175" s="2">
        <v>8</v>
      </c>
      <c r="H175" s="16">
        <v>0.10798193302637613</v>
      </c>
      <c r="I175" s="16">
        <v>0.79788456080286541</v>
      </c>
      <c r="J175" s="16">
        <v>0.10798193302637613</v>
      </c>
      <c r="K175" s="16">
        <v>0.10650697891920077</v>
      </c>
      <c r="L175" s="16">
        <v>0.78698604216159851</v>
      </c>
      <c r="M175" s="16">
        <v>0.10650697891920077</v>
      </c>
      <c r="P175"/>
    </row>
    <row r="176" spans="1:16" x14ac:dyDescent="0.25">
      <c r="A176" s="2">
        <v>22</v>
      </c>
      <c r="B176" s="2">
        <v>2</v>
      </c>
      <c r="C176" s="2" t="s">
        <v>96</v>
      </c>
      <c r="D176" s="22">
        <v>8</v>
      </c>
      <c r="E176" s="2">
        <v>7</v>
      </c>
      <c r="F176" s="2">
        <v>8</v>
      </c>
      <c r="G176" s="2">
        <v>9</v>
      </c>
      <c r="H176" s="16">
        <v>0.10798193302637613</v>
      </c>
      <c r="I176" s="16">
        <v>0.79788456080286541</v>
      </c>
      <c r="J176" s="16">
        <v>0.10798193302637613</v>
      </c>
      <c r="K176" s="16">
        <v>0.10650697891920077</v>
      </c>
      <c r="L176" s="16">
        <v>0.78698604216159851</v>
      </c>
      <c r="M176" s="16">
        <v>0.10650697891920077</v>
      </c>
      <c r="P176"/>
    </row>
    <row r="177" spans="1:16" x14ac:dyDescent="0.25">
      <c r="A177" s="2">
        <v>22</v>
      </c>
      <c r="B177" s="2">
        <v>3</v>
      </c>
      <c r="C177" s="2" t="s">
        <v>96</v>
      </c>
      <c r="D177" s="22">
        <v>8</v>
      </c>
      <c r="E177" s="2">
        <v>7</v>
      </c>
      <c r="F177" s="2">
        <v>8</v>
      </c>
      <c r="G177" s="2">
        <v>9</v>
      </c>
      <c r="H177" s="16">
        <v>0.10798193302637613</v>
      </c>
      <c r="I177" s="16">
        <v>0.79788456080286541</v>
      </c>
      <c r="J177" s="16">
        <v>0.10798193302637613</v>
      </c>
      <c r="K177" s="16">
        <v>0.10650697891920077</v>
      </c>
      <c r="L177" s="16">
        <v>0.78698604216159851</v>
      </c>
      <c r="M177" s="16">
        <v>0.10650697891920077</v>
      </c>
      <c r="P177"/>
    </row>
    <row r="178" spans="1:16" hidden="1" x14ac:dyDescent="0.25">
      <c r="A178" s="17">
        <v>23</v>
      </c>
      <c r="B178" s="17">
        <v>2</v>
      </c>
      <c r="C178" s="17" t="s">
        <v>94</v>
      </c>
      <c r="D178" s="21">
        <v>3</v>
      </c>
      <c r="E178" s="17">
        <v>2</v>
      </c>
      <c r="F178" s="17">
        <v>3</v>
      </c>
      <c r="G178" s="17">
        <v>4</v>
      </c>
      <c r="H178" s="15">
        <v>0.10798193302637613</v>
      </c>
      <c r="I178" s="15">
        <v>0.79788456080286541</v>
      </c>
      <c r="J178" s="15">
        <v>0.10798193302637613</v>
      </c>
      <c r="K178" s="15">
        <v>0.10650697891920077</v>
      </c>
      <c r="L178" s="15">
        <v>0.78698604216159851</v>
      </c>
      <c r="M178" s="15">
        <v>0.10650697891920077</v>
      </c>
      <c r="P178"/>
    </row>
    <row r="179" spans="1:16" hidden="1" x14ac:dyDescent="0.25">
      <c r="A179" s="17">
        <v>23</v>
      </c>
      <c r="B179" s="17">
        <v>3</v>
      </c>
      <c r="C179" s="17" t="s">
        <v>94</v>
      </c>
      <c r="D179" s="21">
        <v>3</v>
      </c>
      <c r="E179" s="17">
        <v>2</v>
      </c>
      <c r="F179" s="17">
        <v>3</v>
      </c>
      <c r="G179" s="17">
        <v>4</v>
      </c>
      <c r="H179" s="15">
        <v>0.10798193302637613</v>
      </c>
      <c r="I179" s="15">
        <v>0.79788456080286541</v>
      </c>
      <c r="J179" s="15">
        <v>0.10798193302637613</v>
      </c>
      <c r="K179" s="15">
        <v>0.10650697891920077</v>
      </c>
      <c r="L179" s="15">
        <v>0.78698604216159851</v>
      </c>
      <c r="M179" s="15">
        <v>0.10650697891920077</v>
      </c>
      <c r="P179"/>
    </row>
    <row r="180" spans="1:16" hidden="1" x14ac:dyDescent="0.25">
      <c r="A180" s="2">
        <v>23</v>
      </c>
      <c r="B180" s="2">
        <v>1</v>
      </c>
      <c r="C180" s="2" t="s">
        <v>95</v>
      </c>
      <c r="D180" s="22">
        <v>1</v>
      </c>
      <c r="E180" s="2" t="s">
        <v>106</v>
      </c>
      <c r="F180" s="2">
        <v>1</v>
      </c>
      <c r="G180" s="2">
        <v>2</v>
      </c>
      <c r="H180" s="16" t="s">
        <v>106</v>
      </c>
      <c r="I180" s="16">
        <v>0.79788456080286541</v>
      </c>
      <c r="J180" s="16">
        <v>0.10798193302637613</v>
      </c>
      <c r="K180" s="16" t="s">
        <v>106</v>
      </c>
      <c r="L180" s="16">
        <v>0.88079707797788243</v>
      </c>
      <c r="M180" s="16">
        <v>0.11920292202211756</v>
      </c>
      <c r="P180"/>
    </row>
    <row r="181" spans="1:16" hidden="1" x14ac:dyDescent="0.25">
      <c r="A181" s="2">
        <v>23</v>
      </c>
      <c r="B181" s="2">
        <v>2</v>
      </c>
      <c r="C181" s="2" t="s">
        <v>95</v>
      </c>
      <c r="D181" s="22">
        <v>1</v>
      </c>
      <c r="E181" s="2" t="s">
        <v>106</v>
      </c>
      <c r="F181" s="2">
        <v>1</v>
      </c>
      <c r="G181" s="2">
        <v>2</v>
      </c>
      <c r="H181" s="16" t="s">
        <v>106</v>
      </c>
      <c r="I181" s="16">
        <v>0.79788456080286541</v>
      </c>
      <c r="J181" s="16">
        <v>0.10798193302637613</v>
      </c>
      <c r="K181" s="16" t="s">
        <v>106</v>
      </c>
      <c r="L181" s="16">
        <v>0.88079707797788243</v>
      </c>
      <c r="M181" s="16">
        <v>0.11920292202211756</v>
      </c>
      <c r="P181"/>
    </row>
    <row r="182" spans="1:16" x14ac:dyDescent="0.25">
      <c r="A182" s="17">
        <v>23</v>
      </c>
      <c r="B182" s="17">
        <v>1</v>
      </c>
      <c r="C182" s="17" t="s">
        <v>96</v>
      </c>
      <c r="D182" s="21">
        <v>10</v>
      </c>
      <c r="E182" s="17">
        <v>9</v>
      </c>
      <c r="F182" s="17">
        <v>10</v>
      </c>
      <c r="G182" s="17" t="s">
        <v>106</v>
      </c>
      <c r="H182" s="15">
        <v>0.10798193302637613</v>
      </c>
      <c r="I182" s="15">
        <v>0.79788456080286541</v>
      </c>
      <c r="J182" s="15" t="s">
        <v>106</v>
      </c>
      <c r="K182" s="15">
        <v>0.11920292202211756</v>
      </c>
      <c r="L182" s="15">
        <v>0.88079707797788243</v>
      </c>
      <c r="M182" s="15" t="s">
        <v>106</v>
      </c>
      <c r="P182"/>
    </row>
    <row r="183" spans="1:16" x14ac:dyDescent="0.25">
      <c r="A183" s="17">
        <v>23</v>
      </c>
      <c r="B183" s="17">
        <v>2</v>
      </c>
      <c r="C183" s="17" t="s">
        <v>96</v>
      </c>
      <c r="D183" s="21">
        <v>9</v>
      </c>
      <c r="E183" s="17">
        <v>8</v>
      </c>
      <c r="F183" s="17">
        <v>9</v>
      </c>
      <c r="G183" s="17">
        <v>10</v>
      </c>
      <c r="H183" s="15">
        <v>0.10798193302637613</v>
      </c>
      <c r="I183" s="15">
        <v>0.79788456080286541</v>
      </c>
      <c r="J183" s="15">
        <v>0.10798193302637613</v>
      </c>
      <c r="K183" s="15">
        <v>0.10650697891920077</v>
      </c>
      <c r="L183" s="15">
        <v>0.78698604216159851</v>
      </c>
      <c r="M183" s="15">
        <v>0.10650697891920077</v>
      </c>
      <c r="P183"/>
    </row>
    <row r="184" spans="1:16" x14ac:dyDescent="0.25">
      <c r="A184" s="17">
        <v>23</v>
      </c>
      <c r="B184" s="17">
        <v>3</v>
      </c>
      <c r="C184" s="17" t="s">
        <v>96</v>
      </c>
      <c r="D184" s="21">
        <v>8</v>
      </c>
      <c r="E184" s="17">
        <v>7</v>
      </c>
      <c r="F184" s="17">
        <v>8</v>
      </c>
      <c r="G184" s="17">
        <v>9</v>
      </c>
      <c r="H184" s="15">
        <v>0.10798193302637613</v>
      </c>
      <c r="I184" s="15">
        <v>0.79788456080286541</v>
      </c>
      <c r="J184" s="15">
        <v>0.10798193302637613</v>
      </c>
      <c r="K184" s="15">
        <v>0.10650697891920077</v>
      </c>
      <c r="L184" s="15">
        <v>0.78698604216159851</v>
      </c>
      <c r="M184" s="15">
        <v>0.10650697891920077</v>
      </c>
      <c r="P184"/>
    </row>
    <row r="185" spans="1:16" hidden="1" x14ac:dyDescent="0.25">
      <c r="A185" s="2">
        <v>24</v>
      </c>
      <c r="B185" s="2">
        <v>2</v>
      </c>
      <c r="C185" s="2" t="s">
        <v>94</v>
      </c>
      <c r="D185" s="22">
        <v>3</v>
      </c>
      <c r="E185" s="2">
        <v>2</v>
      </c>
      <c r="F185" s="2">
        <v>3</v>
      </c>
      <c r="G185" s="2">
        <v>4</v>
      </c>
      <c r="H185" s="16">
        <v>0.10798193302637613</v>
      </c>
      <c r="I185" s="16">
        <v>0.79788456080286541</v>
      </c>
      <c r="J185" s="16">
        <v>0.10798193302637613</v>
      </c>
      <c r="K185" s="16">
        <v>0.10650697891920077</v>
      </c>
      <c r="L185" s="16">
        <v>0.78698604216159851</v>
      </c>
      <c r="M185" s="16">
        <v>0.10650697891920077</v>
      </c>
      <c r="P185"/>
    </row>
    <row r="186" spans="1:16" hidden="1" x14ac:dyDescent="0.25">
      <c r="A186" s="2">
        <v>24</v>
      </c>
      <c r="B186" s="2">
        <v>3</v>
      </c>
      <c r="C186" s="2" t="s">
        <v>94</v>
      </c>
      <c r="D186" s="22">
        <v>3</v>
      </c>
      <c r="E186" s="2">
        <v>2</v>
      </c>
      <c r="F186" s="2">
        <v>3</v>
      </c>
      <c r="G186" s="2">
        <v>4</v>
      </c>
      <c r="H186" s="16">
        <v>0.10798193302637613</v>
      </c>
      <c r="I186" s="16">
        <v>0.79788456080286541</v>
      </c>
      <c r="J186" s="16">
        <v>0.10798193302637613</v>
      </c>
      <c r="K186" s="16">
        <v>0.10650697891920077</v>
      </c>
      <c r="L186" s="16">
        <v>0.78698604216159851</v>
      </c>
      <c r="M186" s="16">
        <v>0.10650697891920077</v>
      </c>
      <c r="P186"/>
    </row>
    <row r="187" spans="1:16" hidden="1" x14ac:dyDescent="0.25">
      <c r="A187" s="17">
        <v>24</v>
      </c>
      <c r="B187" s="17">
        <v>1</v>
      </c>
      <c r="C187" s="17" t="s">
        <v>95</v>
      </c>
      <c r="D187" s="21">
        <v>1</v>
      </c>
      <c r="E187" s="17" t="s">
        <v>106</v>
      </c>
      <c r="F187" s="17">
        <v>1</v>
      </c>
      <c r="G187" s="17">
        <v>2</v>
      </c>
      <c r="H187" s="15" t="s">
        <v>106</v>
      </c>
      <c r="I187" s="15">
        <v>0.79788456080286541</v>
      </c>
      <c r="J187" s="15">
        <v>0.10798193302637613</v>
      </c>
      <c r="K187" s="15" t="s">
        <v>106</v>
      </c>
      <c r="L187" s="15">
        <v>0.88079707797788243</v>
      </c>
      <c r="M187" s="15">
        <v>0.11920292202211756</v>
      </c>
      <c r="P187"/>
    </row>
    <row r="188" spans="1:16" hidden="1" x14ac:dyDescent="0.25">
      <c r="A188" s="17">
        <v>24</v>
      </c>
      <c r="B188" s="17">
        <v>2</v>
      </c>
      <c r="C188" s="17" t="s">
        <v>95</v>
      </c>
      <c r="D188" s="21">
        <v>2</v>
      </c>
      <c r="E188" s="17">
        <v>1</v>
      </c>
      <c r="F188" s="17">
        <v>2</v>
      </c>
      <c r="G188" s="17">
        <v>3</v>
      </c>
      <c r="H188" s="15">
        <v>0.10798193302637613</v>
      </c>
      <c r="I188" s="15">
        <v>0.79788456080286541</v>
      </c>
      <c r="J188" s="15">
        <v>0.10798193302637613</v>
      </c>
      <c r="K188" s="15">
        <v>0.10650697891920077</v>
      </c>
      <c r="L188" s="15">
        <v>0.78698604216159851</v>
      </c>
      <c r="M188" s="15">
        <v>0.10650697891920077</v>
      </c>
      <c r="P188"/>
    </row>
    <row r="189" spans="1:16" x14ac:dyDescent="0.25">
      <c r="A189" s="2">
        <v>24</v>
      </c>
      <c r="B189" s="2">
        <v>1</v>
      </c>
      <c r="C189" s="2" t="s">
        <v>96</v>
      </c>
      <c r="D189" s="22">
        <v>7</v>
      </c>
      <c r="E189" s="2">
        <v>6</v>
      </c>
      <c r="F189" s="2">
        <v>7</v>
      </c>
      <c r="G189" s="2">
        <v>8</v>
      </c>
      <c r="H189" s="16">
        <v>0.10798193302637613</v>
      </c>
      <c r="I189" s="16">
        <v>0.79788456080286541</v>
      </c>
      <c r="J189" s="16">
        <v>0.10798193302637613</v>
      </c>
      <c r="K189" s="16">
        <v>0.10650697891920077</v>
      </c>
      <c r="L189" s="16">
        <v>0.78698604216159851</v>
      </c>
      <c r="M189" s="16">
        <v>0.10650697891920077</v>
      </c>
      <c r="P189"/>
    </row>
    <row r="190" spans="1:16" x14ac:dyDescent="0.25">
      <c r="A190" s="2">
        <v>24</v>
      </c>
      <c r="B190" s="2">
        <v>2</v>
      </c>
      <c r="C190" s="2" t="s">
        <v>96</v>
      </c>
      <c r="D190" s="22">
        <v>9</v>
      </c>
      <c r="E190" s="2">
        <v>8</v>
      </c>
      <c r="F190" s="2">
        <v>9</v>
      </c>
      <c r="G190" s="2">
        <v>10</v>
      </c>
      <c r="H190" s="16">
        <v>0.10798193302637613</v>
      </c>
      <c r="I190" s="16">
        <v>0.79788456080286541</v>
      </c>
      <c r="J190" s="16">
        <v>0.10798193302637613</v>
      </c>
      <c r="K190" s="16">
        <v>0.10650697891920077</v>
      </c>
      <c r="L190" s="16">
        <v>0.78698604216159851</v>
      </c>
      <c r="M190" s="16">
        <v>0.10650697891920077</v>
      </c>
      <c r="P190"/>
    </row>
    <row r="191" spans="1:16" x14ac:dyDescent="0.25">
      <c r="A191" s="2">
        <v>24</v>
      </c>
      <c r="B191" s="2">
        <v>3</v>
      </c>
      <c r="C191" s="2" t="s">
        <v>96</v>
      </c>
      <c r="D191" s="22">
        <v>6</v>
      </c>
      <c r="E191" s="2">
        <v>5</v>
      </c>
      <c r="F191" s="2">
        <v>6</v>
      </c>
      <c r="G191" s="2">
        <v>7</v>
      </c>
      <c r="H191" s="16">
        <v>0.10798193302637613</v>
      </c>
      <c r="I191" s="16">
        <v>0.79788456080286541</v>
      </c>
      <c r="J191" s="16">
        <v>0.10798193302637613</v>
      </c>
      <c r="K191" s="16">
        <v>0.10650697891920077</v>
      </c>
      <c r="L191" s="16">
        <v>0.78698604216159851</v>
      </c>
      <c r="M191" s="16">
        <v>0.10650697891920077</v>
      </c>
      <c r="P191"/>
    </row>
    <row r="192" spans="1:16" hidden="1" x14ac:dyDescent="0.25">
      <c r="A192" s="17">
        <v>25</v>
      </c>
      <c r="B192" s="17">
        <v>2</v>
      </c>
      <c r="C192" s="17" t="s">
        <v>94</v>
      </c>
      <c r="D192" s="21">
        <v>2</v>
      </c>
      <c r="E192" s="17">
        <v>1</v>
      </c>
      <c r="F192" s="17">
        <v>2</v>
      </c>
      <c r="G192" s="17">
        <v>3</v>
      </c>
      <c r="H192" s="15">
        <v>0.10798193302637613</v>
      </c>
      <c r="I192" s="15">
        <v>0.79788456080286541</v>
      </c>
      <c r="J192" s="15">
        <v>0.10798193302637613</v>
      </c>
      <c r="K192" s="15">
        <v>0.10650697891920077</v>
      </c>
      <c r="L192" s="15">
        <v>0.78698604216159851</v>
      </c>
      <c r="M192" s="15">
        <v>0.10650697891920077</v>
      </c>
      <c r="P192"/>
    </row>
    <row r="193" spans="1:16" hidden="1" x14ac:dyDescent="0.25">
      <c r="A193" s="17">
        <v>25</v>
      </c>
      <c r="B193" s="17">
        <v>3</v>
      </c>
      <c r="C193" s="17" t="s">
        <v>94</v>
      </c>
      <c r="D193" s="21">
        <v>3</v>
      </c>
      <c r="E193" s="17">
        <v>2</v>
      </c>
      <c r="F193" s="17">
        <v>3</v>
      </c>
      <c r="G193" s="17">
        <v>4</v>
      </c>
      <c r="H193" s="15">
        <v>0.10798193302637613</v>
      </c>
      <c r="I193" s="15">
        <v>0.79788456080286541</v>
      </c>
      <c r="J193" s="15">
        <v>0.10798193302637613</v>
      </c>
      <c r="K193" s="15">
        <v>0.10650697891920077</v>
      </c>
      <c r="L193" s="15">
        <v>0.78698604216159851</v>
      </c>
      <c r="M193" s="15">
        <v>0.10650697891920077</v>
      </c>
      <c r="P193"/>
    </row>
    <row r="194" spans="1:16" hidden="1" x14ac:dyDescent="0.25">
      <c r="A194" s="2">
        <v>25</v>
      </c>
      <c r="B194" s="2">
        <v>2</v>
      </c>
      <c r="C194" s="2" t="s">
        <v>95</v>
      </c>
      <c r="D194" s="22">
        <v>5</v>
      </c>
      <c r="E194" s="2">
        <v>4</v>
      </c>
      <c r="F194" s="2">
        <v>5</v>
      </c>
      <c r="G194" s="2">
        <v>6</v>
      </c>
      <c r="H194" s="16">
        <v>0.10798193302637613</v>
      </c>
      <c r="I194" s="16">
        <v>0.79788456080286541</v>
      </c>
      <c r="J194" s="16">
        <v>0.10798193302637613</v>
      </c>
      <c r="K194" s="16">
        <v>0.10650697891920077</v>
      </c>
      <c r="L194" s="16">
        <v>0.78698604216159851</v>
      </c>
      <c r="M194" s="16">
        <v>0.10650697891920077</v>
      </c>
      <c r="P194"/>
    </row>
    <row r="195" spans="1:16" hidden="1" x14ac:dyDescent="0.25">
      <c r="A195" s="2">
        <v>25</v>
      </c>
      <c r="B195" s="2">
        <v>3</v>
      </c>
      <c r="C195" s="2" t="s">
        <v>95</v>
      </c>
      <c r="D195" s="22">
        <v>7</v>
      </c>
      <c r="E195" s="2">
        <v>6</v>
      </c>
      <c r="F195" s="2">
        <v>7</v>
      </c>
      <c r="G195" s="2">
        <v>8</v>
      </c>
      <c r="H195" s="16">
        <v>0.10798193302637613</v>
      </c>
      <c r="I195" s="16">
        <v>0.79788456080286541</v>
      </c>
      <c r="J195" s="16">
        <v>0.10798193302637613</v>
      </c>
      <c r="K195" s="16">
        <v>0.10650697891920077</v>
      </c>
      <c r="L195" s="16">
        <v>0.78698604216159851</v>
      </c>
      <c r="M195" s="16">
        <v>0.10650697891920077</v>
      </c>
      <c r="P195"/>
    </row>
    <row r="196" spans="1:16" x14ac:dyDescent="0.25">
      <c r="A196" s="17">
        <v>25</v>
      </c>
      <c r="B196" s="17">
        <v>1</v>
      </c>
      <c r="C196" s="17" t="s">
        <v>96</v>
      </c>
      <c r="D196" s="21">
        <v>4</v>
      </c>
      <c r="E196" s="17">
        <v>3</v>
      </c>
      <c r="F196" s="17">
        <v>4</v>
      </c>
      <c r="G196" s="17">
        <v>5</v>
      </c>
      <c r="H196" s="15">
        <v>0.10798193302637613</v>
      </c>
      <c r="I196" s="15">
        <v>0.79788456080286541</v>
      </c>
      <c r="J196" s="15">
        <v>0.10798193302637613</v>
      </c>
      <c r="K196" s="15">
        <v>0.10650697891920077</v>
      </c>
      <c r="L196" s="15">
        <v>0.78698604216159851</v>
      </c>
      <c r="M196" s="15">
        <v>0.10650697891920077</v>
      </c>
      <c r="P196"/>
    </row>
    <row r="197" spans="1:16" x14ac:dyDescent="0.25">
      <c r="A197" s="17">
        <v>25</v>
      </c>
      <c r="B197" s="17">
        <v>3</v>
      </c>
      <c r="C197" s="17" t="s">
        <v>96</v>
      </c>
      <c r="D197" s="21">
        <v>4</v>
      </c>
      <c r="E197" s="17">
        <v>3</v>
      </c>
      <c r="F197" s="17">
        <v>4</v>
      </c>
      <c r="G197" s="17">
        <v>5</v>
      </c>
      <c r="H197" s="15">
        <v>0.10798193302637613</v>
      </c>
      <c r="I197" s="15">
        <v>0.79788456080286541</v>
      </c>
      <c r="J197" s="15">
        <v>0.10798193302637613</v>
      </c>
      <c r="K197" s="15">
        <v>0.10650697891920077</v>
      </c>
      <c r="L197" s="15">
        <v>0.78698604216159851</v>
      </c>
      <c r="M197" s="15">
        <v>0.10650697891920077</v>
      </c>
      <c r="P197"/>
    </row>
    <row r="198" spans="1:16" hidden="1" x14ac:dyDescent="0.25">
      <c r="A198" s="2">
        <v>26</v>
      </c>
      <c r="B198" s="2">
        <v>1</v>
      </c>
      <c r="C198" s="2" t="s">
        <v>94</v>
      </c>
      <c r="D198" s="22">
        <v>7</v>
      </c>
      <c r="E198" s="2">
        <v>6</v>
      </c>
      <c r="F198" s="2">
        <v>7</v>
      </c>
      <c r="G198" s="2">
        <v>8</v>
      </c>
      <c r="H198" s="16">
        <v>0.10798193302637613</v>
      </c>
      <c r="I198" s="16">
        <v>0.79788456080286541</v>
      </c>
      <c r="J198" s="16">
        <v>0.10798193302637613</v>
      </c>
      <c r="K198" s="16">
        <v>0.10650697891920077</v>
      </c>
      <c r="L198" s="16">
        <v>0.78698604216159851</v>
      </c>
      <c r="M198" s="16">
        <v>0.10650697891920077</v>
      </c>
      <c r="P198"/>
    </row>
    <row r="199" spans="1:16" hidden="1" x14ac:dyDescent="0.25">
      <c r="A199" s="2">
        <v>26</v>
      </c>
      <c r="B199" s="2">
        <v>2</v>
      </c>
      <c r="C199" s="2" t="s">
        <v>94</v>
      </c>
      <c r="D199" s="22">
        <v>6</v>
      </c>
      <c r="E199" s="2">
        <v>5</v>
      </c>
      <c r="F199" s="2">
        <v>6</v>
      </c>
      <c r="G199" s="2">
        <v>7</v>
      </c>
      <c r="H199" s="16">
        <v>0.10798193302637613</v>
      </c>
      <c r="I199" s="16">
        <v>0.79788456080286541</v>
      </c>
      <c r="J199" s="16">
        <v>0.10798193302637613</v>
      </c>
      <c r="K199" s="16">
        <v>0.10650697891920077</v>
      </c>
      <c r="L199" s="16">
        <v>0.78698604216159851</v>
      </c>
      <c r="M199" s="16">
        <v>0.10650697891920077</v>
      </c>
      <c r="P199"/>
    </row>
    <row r="200" spans="1:16" hidden="1" x14ac:dyDescent="0.25">
      <c r="A200" s="2">
        <v>26</v>
      </c>
      <c r="B200" s="2">
        <v>3</v>
      </c>
      <c r="C200" s="2" t="s">
        <v>94</v>
      </c>
      <c r="D200" s="22">
        <v>7</v>
      </c>
      <c r="E200" s="2">
        <v>6</v>
      </c>
      <c r="F200" s="2">
        <v>7</v>
      </c>
      <c r="G200" s="2">
        <v>8</v>
      </c>
      <c r="H200" s="16">
        <v>0.10798193302637613</v>
      </c>
      <c r="I200" s="16">
        <v>0.79788456080286541</v>
      </c>
      <c r="J200" s="16">
        <v>0.10798193302637613</v>
      </c>
      <c r="K200" s="16">
        <v>0.10650697891920077</v>
      </c>
      <c r="L200" s="16">
        <v>0.78698604216159851</v>
      </c>
      <c r="M200" s="16">
        <v>0.10650697891920077</v>
      </c>
      <c r="P200"/>
    </row>
    <row r="201" spans="1:16" hidden="1" x14ac:dyDescent="0.25">
      <c r="A201" s="17">
        <v>26</v>
      </c>
      <c r="B201" s="17">
        <v>1</v>
      </c>
      <c r="C201" s="17" t="s">
        <v>95</v>
      </c>
      <c r="D201" s="21">
        <v>3</v>
      </c>
      <c r="E201" s="17">
        <v>2</v>
      </c>
      <c r="F201" s="17">
        <v>3</v>
      </c>
      <c r="G201" s="17">
        <v>4</v>
      </c>
      <c r="H201" s="15">
        <v>0.10798193302637613</v>
      </c>
      <c r="I201" s="15">
        <v>0.79788456080286541</v>
      </c>
      <c r="J201" s="15">
        <v>0.10798193302637613</v>
      </c>
      <c r="K201" s="15">
        <v>0.10650697891920077</v>
      </c>
      <c r="L201" s="15">
        <v>0.78698604216159851</v>
      </c>
      <c r="M201" s="15">
        <v>0.10650697891920077</v>
      </c>
      <c r="P201"/>
    </row>
    <row r="202" spans="1:16" hidden="1" x14ac:dyDescent="0.25">
      <c r="A202" s="17">
        <v>26</v>
      </c>
      <c r="B202" s="17">
        <v>2</v>
      </c>
      <c r="C202" s="17" t="s">
        <v>95</v>
      </c>
      <c r="D202" s="21">
        <v>2</v>
      </c>
      <c r="E202" s="17">
        <v>1</v>
      </c>
      <c r="F202" s="17">
        <v>2</v>
      </c>
      <c r="G202" s="17">
        <v>3</v>
      </c>
      <c r="H202" s="15">
        <v>0.10798193302637613</v>
      </c>
      <c r="I202" s="15">
        <v>0.79788456080286541</v>
      </c>
      <c r="J202" s="15">
        <v>0.10798193302637613</v>
      </c>
      <c r="K202" s="15">
        <v>0.10650697891920077</v>
      </c>
      <c r="L202" s="15">
        <v>0.78698604216159851</v>
      </c>
      <c r="M202" s="15">
        <v>0.10650697891920077</v>
      </c>
      <c r="P202"/>
    </row>
    <row r="203" spans="1:16" hidden="1" x14ac:dyDescent="0.25">
      <c r="A203" s="17">
        <v>26</v>
      </c>
      <c r="B203" s="17">
        <v>3</v>
      </c>
      <c r="C203" s="17" t="s">
        <v>95</v>
      </c>
      <c r="D203" s="21">
        <v>3</v>
      </c>
      <c r="E203" s="17">
        <v>2</v>
      </c>
      <c r="F203" s="17">
        <v>3</v>
      </c>
      <c r="G203" s="17">
        <v>4</v>
      </c>
      <c r="H203" s="15">
        <v>0.10798193302637613</v>
      </c>
      <c r="I203" s="15">
        <v>0.79788456080286541</v>
      </c>
      <c r="J203" s="15">
        <v>0.10798193302637613</v>
      </c>
      <c r="K203" s="15">
        <v>0.10650697891920077</v>
      </c>
      <c r="L203" s="15">
        <v>0.78698604216159851</v>
      </c>
      <c r="M203" s="15">
        <v>0.10650697891920077</v>
      </c>
      <c r="P203"/>
    </row>
    <row r="204" spans="1:16" x14ac:dyDescent="0.25">
      <c r="A204" s="2">
        <v>26</v>
      </c>
      <c r="B204" s="2">
        <v>2</v>
      </c>
      <c r="C204" s="2" t="s">
        <v>96</v>
      </c>
      <c r="D204" s="22">
        <v>6</v>
      </c>
      <c r="E204" s="2">
        <v>5</v>
      </c>
      <c r="F204" s="2">
        <v>6</v>
      </c>
      <c r="G204" s="2">
        <v>7</v>
      </c>
      <c r="H204" s="16">
        <v>0.10798193302637613</v>
      </c>
      <c r="I204" s="16">
        <v>0.79788456080286541</v>
      </c>
      <c r="J204" s="16">
        <v>0.10798193302637613</v>
      </c>
      <c r="K204" s="16">
        <v>0.10650697891920077</v>
      </c>
      <c r="L204" s="16">
        <v>0.78698604216159851</v>
      </c>
      <c r="M204" s="16">
        <v>0.10650697891920077</v>
      </c>
      <c r="P204"/>
    </row>
    <row r="205" spans="1:16" x14ac:dyDescent="0.25">
      <c r="A205" s="2">
        <v>26</v>
      </c>
      <c r="B205" s="2">
        <v>3</v>
      </c>
      <c r="C205" s="2" t="s">
        <v>96</v>
      </c>
      <c r="D205" s="22">
        <v>6</v>
      </c>
      <c r="E205" s="2">
        <v>5</v>
      </c>
      <c r="F205" s="2">
        <v>6</v>
      </c>
      <c r="G205" s="2">
        <v>7</v>
      </c>
      <c r="H205" s="16">
        <v>0.10798193302637613</v>
      </c>
      <c r="I205" s="16">
        <v>0.79788456080286541</v>
      </c>
      <c r="J205" s="16">
        <v>0.10798193302637613</v>
      </c>
      <c r="K205" s="16">
        <v>0.10650697891920077</v>
      </c>
      <c r="L205" s="16">
        <v>0.78698604216159851</v>
      </c>
      <c r="M205" s="16">
        <v>0.10650697891920077</v>
      </c>
      <c r="P205"/>
    </row>
    <row r="206" spans="1:16" hidden="1" x14ac:dyDescent="0.25">
      <c r="A206" s="17">
        <v>27</v>
      </c>
      <c r="B206" s="17">
        <v>1</v>
      </c>
      <c r="C206" s="17" t="s">
        <v>94</v>
      </c>
      <c r="D206" s="21">
        <v>10</v>
      </c>
      <c r="E206" s="17">
        <v>9</v>
      </c>
      <c r="F206" s="17">
        <v>10</v>
      </c>
      <c r="G206" s="17" t="s">
        <v>106</v>
      </c>
      <c r="H206" s="15">
        <v>0.10798193302637613</v>
      </c>
      <c r="I206" s="15">
        <v>0.79788456080286541</v>
      </c>
      <c r="J206" s="15" t="s">
        <v>106</v>
      </c>
      <c r="K206" s="15">
        <v>0.11920292202211756</v>
      </c>
      <c r="L206" s="15">
        <v>0.88079707797788243</v>
      </c>
      <c r="M206" s="15" t="s">
        <v>106</v>
      </c>
      <c r="P206"/>
    </row>
    <row r="207" spans="1:16" hidden="1" x14ac:dyDescent="0.25">
      <c r="A207" s="17">
        <v>27</v>
      </c>
      <c r="B207" s="17">
        <v>2</v>
      </c>
      <c r="C207" s="17" t="s">
        <v>94</v>
      </c>
      <c r="D207" s="21">
        <v>6</v>
      </c>
      <c r="E207" s="17">
        <v>5</v>
      </c>
      <c r="F207" s="17">
        <v>6</v>
      </c>
      <c r="G207" s="17">
        <v>7</v>
      </c>
      <c r="H207" s="15">
        <v>0.10798193302637613</v>
      </c>
      <c r="I207" s="15">
        <v>0.79788456080286541</v>
      </c>
      <c r="J207" s="15">
        <v>0.10798193302637613</v>
      </c>
      <c r="K207" s="15">
        <v>0.10650697891920077</v>
      </c>
      <c r="L207" s="15">
        <v>0.78698604216159851</v>
      </c>
      <c r="M207" s="15">
        <v>0.10650697891920077</v>
      </c>
      <c r="P207"/>
    </row>
    <row r="208" spans="1:16" hidden="1" x14ac:dyDescent="0.25">
      <c r="A208" s="17">
        <v>27</v>
      </c>
      <c r="B208" s="17">
        <v>3</v>
      </c>
      <c r="C208" s="17" t="s">
        <v>94</v>
      </c>
      <c r="D208" s="21">
        <v>8</v>
      </c>
      <c r="E208" s="17">
        <v>7</v>
      </c>
      <c r="F208" s="17">
        <v>8</v>
      </c>
      <c r="G208" s="17">
        <v>9</v>
      </c>
      <c r="H208" s="15">
        <v>0.10798193302637613</v>
      </c>
      <c r="I208" s="15">
        <v>0.79788456080286541</v>
      </c>
      <c r="J208" s="15">
        <v>0.10798193302637613</v>
      </c>
      <c r="K208" s="15">
        <v>0.10650697891920077</v>
      </c>
      <c r="L208" s="15">
        <v>0.78698604216159851</v>
      </c>
      <c r="M208" s="15">
        <v>0.10650697891920077</v>
      </c>
      <c r="P208"/>
    </row>
    <row r="209" spans="1:16" hidden="1" x14ac:dyDescent="0.25">
      <c r="A209" s="2">
        <v>27</v>
      </c>
      <c r="B209" s="2">
        <v>1</v>
      </c>
      <c r="C209" s="2" t="s">
        <v>95</v>
      </c>
      <c r="D209" s="22">
        <v>1</v>
      </c>
      <c r="E209" s="2" t="s">
        <v>106</v>
      </c>
      <c r="F209" s="2">
        <v>1</v>
      </c>
      <c r="G209" s="2">
        <v>2</v>
      </c>
      <c r="H209" s="16" t="s">
        <v>106</v>
      </c>
      <c r="I209" s="16">
        <v>0.79788456080286541</v>
      </c>
      <c r="J209" s="16">
        <v>0.10798193302637613</v>
      </c>
      <c r="K209" s="16" t="s">
        <v>106</v>
      </c>
      <c r="L209" s="16">
        <v>0.88079707797788243</v>
      </c>
      <c r="M209" s="16">
        <v>0.11920292202211756</v>
      </c>
      <c r="P209"/>
    </row>
    <row r="210" spans="1:16" hidden="1" x14ac:dyDescent="0.25">
      <c r="A210" s="2">
        <v>27</v>
      </c>
      <c r="B210" s="2">
        <v>2</v>
      </c>
      <c r="C210" s="2" t="s">
        <v>95</v>
      </c>
      <c r="D210" s="22">
        <v>4</v>
      </c>
      <c r="E210" s="2">
        <v>3</v>
      </c>
      <c r="F210" s="2">
        <v>4</v>
      </c>
      <c r="G210" s="2">
        <v>5</v>
      </c>
      <c r="H210" s="16">
        <v>0.10798193302637613</v>
      </c>
      <c r="I210" s="16">
        <v>0.79788456080286541</v>
      </c>
      <c r="J210" s="16">
        <v>0.10798193302637613</v>
      </c>
      <c r="K210" s="16">
        <v>0.10650697891920077</v>
      </c>
      <c r="L210" s="16">
        <v>0.78698604216159851</v>
      </c>
      <c r="M210" s="16">
        <v>0.10650697891920077</v>
      </c>
      <c r="P210"/>
    </row>
    <row r="211" spans="1:16" hidden="1" x14ac:dyDescent="0.25">
      <c r="A211" s="2">
        <v>27</v>
      </c>
      <c r="B211" s="2">
        <v>3</v>
      </c>
      <c r="C211" s="2" t="s">
        <v>95</v>
      </c>
      <c r="D211" s="22">
        <v>3</v>
      </c>
      <c r="E211" s="2">
        <v>2</v>
      </c>
      <c r="F211" s="2">
        <v>3</v>
      </c>
      <c r="G211" s="2">
        <v>4</v>
      </c>
      <c r="H211" s="16">
        <v>0.10798193302637613</v>
      </c>
      <c r="I211" s="16">
        <v>0.79788456080286541</v>
      </c>
      <c r="J211" s="16">
        <v>0.10798193302637613</v>
      </c>
      <c r="K211" s="16">
        <v>0.10650697891920077</v>
      </c>
      <c r="L211" s="16">
        <v>0.78698604216159851</v>
      </c>
      <c r="M211" s="16">
        <v>0.10650697891920077</v>
      </c>
      <c r="P211"/>
    </row>
    <row r="212" spans="1:16" x14ac:dyDescent="0.25">
      <c r="A212" s="17">
        <v>27</v>
      </c>
      <c r="B212" s="17">
        <v>1</v>
      </c>
      <c r="C212" s="17" t="s">
        <v>96</v>
      </c>
      <c r="D212" s="21">
        <v>6</v>
      </c>
      <c r="E212" s="17">
        <v>5</v>
      </c>
      <c r="F212" s="17">
        <v>6</v>
      </c>
      <c r="G212" s="17">
        <v>7</v>
      </c>
      <c r="H212" s="15">
        <v>0.10798193302637613</v>
      </c>
      <c r="I212" s="15">
        <v>0.79788456080286541</v>
      </c>
      <c r="J212" s="15">
        <v>0.10798193302637613</v>
      </c>
      <c r="K212" s="15">
        <v>0.10650697891920077</v>
      </c>
      <c r="L212" s="15">
        <v>0.78698604216159851</v>
      </c>
      <c r="M212" s="15">
        <v>0.10650697891920077</v>
      </c>
      <c r="P212"/>
    </row>
    <row r="213" spans="1:16" x14ac:dyDescent="0.25">
      <c r="A213" s="17">
        <v>27</v>
      </c>
      <c r="B213" s="17">
        <v>2</v>
      </c>
      <c r="C213" s="17" t="s">
        <v>96</v>
      </c>
      <c r="D213" s="21">
        <v>9</v>
      </c>
      <c r="E213" s="17">
        <v>8</v>
      </c>
      <c r="F213" s="17">
        <v>9</v>
      </c>
      <c r="G213" s="17">
        <v>10</v>
      </c>
      <c r="H213" s="15">
        <v>0.10798193302637613</v>
      </c>
      <c r="I213" s="15">
        <v>0.79788456080286541</v>
      </c>
      <c r="J213" s="15">
        <v>0.10798193302637613</v>
      </c>
      <c r="K213" s="15">
        <v>0.10650697891920077</v>
      </c>
      <c r="L213" s="15">
        <v>0.78698604216159851</v>
      </c>
      <c r="M213" s="15">
        <v>0.10650697891920077</v>
      </c>
      <c r="P213"/>
    </row>
    <row r="214" spans="1:16" x14ac:dyDescent="0.25">
      <c r="A214" s="17">
        <v>27</v>
      </c>
      <c r="B214" s="17">
        <v>3</v>
      </c>
      <c r="C214" s="17" t="s">
        <v>96</v>
      </c>
      <c r="D214" s="21">
        <v>7</v>
      </c>
      <c r="E214" s="17">
        <v>6</v>
      </c>
      <c r="F214" s="17">
        <v>7</v>
      </c>
      <c r="G214" s="17">
        <v>8</v>
      </c>
      <c r="H214" s="15">
        <v>0.10798193302637613</v>
      </c>
      <c r="I214" s="15">
        <v>0.79788456080286541</v>
      </c>
      <c r="J214" s="15">
        <v>0.10798193302637613</v>
      </c>
      <c r="K214" s="15">
        <v>0.10650697891920077</v>
      </c>
      <c r="L214" s="15">
        <v>0.78698604216159851</v>
      </c>
      <c r="M214" s="15">
        <v>0.10650697891920077</v>
      </c>
      <c r="P214"/>
    </row>
    <row r="215" spans="1:16" hidden="1" x14ac:dyDescent="0.25">
      <c r="A215" s="2">
        <v>28</v>
      </c>
      <c r="B215" s="2">
        <v>1</v>
      </c>
      <c r="C215" s="2" t="s">
        <v>94</v>
      </c>
      <c r="D215" s="22">
        <v>10</v>
      </c>
      <c r="E215" s="2">
        <v>9</v>
      </c>
      <c r="F215" s="2">
        <v>10</v>
      </c>
      <c r="G215" s="2" t="s">
        <v>106</v>
      </c>
      <c r="H215" s="16">
        <v>0.10798193302637613</v>
      </c>
      <c r="I215" s="16">
        <v>0.79788456080286541</v>
      </c>
      <c r="J215" s="16" t="s">
        <v>106</v>
      </c>
      <c r="K215" s="16">
        <v>0.11920292202211756</v>
      </c>
      <c r="L215" s="16">
        <v>0.88079707797788243</v>
      </c>
      <c r="M215" s="16" t="s">
        <v>106</v>
      </c>
      <c r="P215"/>
    </row>
    <row r="216" spans="1:16" hidden="1" x14ac:dyDescent="0.25">
      <c r="A216" s="2">
        <v>28</v>
      </c>
      <c r="B216" s="2">
        <v>3</v>
      </c>
      <c r="C216" s="2" t="s">
        <v>94</v>
      </c>
      <c r="D216" s="22">
        <v>8</v>
      </c>
      <c r="E216" s="2">
        <v>7</v>
      </c>
      <c r="F216" s="2">
        <v>8</v>
      </c>
      <c r="G216" s="2">
        <v>9</v>
      </c>
      <c r="H216" s="16">
        <v>0.10798193302637613</v>
      </c>
      <c r="I216" s="16">
        <v>0.79788456080286541</v>
      </c>
      <c r="J216" s="16">
        <v>0.10798193302637613</v>
      </c>
      <c r="K216" s="16">
        <v>0.10650697891920077</v>
      </c>
      <c r="L216" s="16">
        <v>0.78698604216159851</v>
      </c>
      <c r="M216" s="16">
        <v>0.10650697891920077</v>
      </c>
      <c r="P216"/>
    </row>
    <row r="217" spans="1:16" hidden="1" x14ac:dyDescent="0.25">
      <c r="A217" s="17">
        <v>28</v>
      </c>
      <c r="B217" s="17">
        <v>1</v>
      </c>
      <c r="C217" s="17" t="s">
        <v>95</v>
      </c>
      <c r="D217" s="21">
        <v>1</v>
      </c>
      <c r="E217" s="17" t="s">
        <v>106</v>
      </c>
      <c r="F217" s="17">
        <v>1</v>
      </c>
      <c r="G217" s="17">
        <v>2</v>
      </c>
      <c r="H217" s="15" t="s">
        <v>106</v>
      </c>
      <c r="I217" s="15">
        <v>0.79788456080286541</v>
      </c>
      <c r="J217" s="15">
        <v>0.10798193302637613</v>
      </c>
      <c r="K217" s="15" t="s">
        <v>106</v>
      </c>
      <c r="L217" s="15">
        <v>0.88079707797788243</v>
      </c>
      <c r="M217" s="15">
        <v>0.11920292202211756</v>
      </c>
      <c r="P217"/>
    </row>
    <row r="218" spans="1:16" hidden="1" x14ac:dyDescent="0.25">
      <c r="A218" s="17">
        <v>28</v>
      </c>
      <c r="B218" s="17">
        <v>2</v>
      </c>
      <c r="C218" s="17" t="s">
        <v>95</v>
      </c>
      <c r="D218" s="21">
        <v>3</v>
      </c>
      <c r="E218" s="17">
        <v>2</v>
      </c>
      <c r="F218" s="17">
        <v>3</v>
      </c>
      <c r="G218" s="17">
        <v>4</v>
      </c>
      <c r="H218" s="15">
        <v>0.10798193302637613</v>
      </c>
      <c r="I218" s="15">
        <v>0.79788456080286541</v>
      </c>
      <c r="J218" s="15">
        <v>0.10798193302637613</v>
      </c>
      <c r="K218" s="15">
        <v>0.10650697891920077</v>
      </c>
      <c r="L218" s="15">
        <v>0.78698604216159851</v>
      </c>
      <c r="M218" s="15">
        <v>0.10650697891920077</v>
      </c>
      <c r="P218"/>
    </row>
    <row r="219" spans="1:16" hidden="1" x14ac:dyDescent="0.25">
      <c r="A219" s="17">
        <v>28</v>
      </c>
      <c r="B219" s="17">
        <v>3</v>
      </c>
      <c r="C219" s="17" t="s">
        <v>95</v>
      </c>
      <c r="D219" s="21">
        <v>4</v>
      </c>
      <c r="E219" s="17">
        <v>3</v>
      </c>
      <c r="F219" s="17">
        <v>4</v>
      </c>
      <c r="G219" s="17">
        <v>5</v>
      </c>
      <c r="H219" s="15">
        <v>0.10798193302637613</v>
      </c>
      <c r="I219" s="15">
        <v>0.79788456080286541</v>
      </c>
      <c r="J219" s="15">
        <v>0.10798193302637613</v>
      </c>
      <c r="K219" s="15">
        <v>0.10650697891920077</v>
      </c>
      <c r="L219" s="15">
        <v>0.78698604216159851</v>
      </c>
      <c r="M219" s="15">
        <v>0.10650697891920077</v>
      </c>
      <c r="P219"/>
    </row>
    <row r="220" spans="1:16" x14ac:dyDescent="0.25">
      <c r="A220" s="2">
        <v>28</v>
      </c>
      <c r="B220" s="2">
        <v>1</v>
      </c>
      <c r="C220" s="2" t="s">
        <v>96</v>
      </c>
      <c r="D220" s="22">
        <v>7</v>
      </c>
      <c r="E220" s="2">
        <v>6</v>
      </c>
      <c r="F220" s="2">
        <v>7</v>
      </c>
      <c r="G220" s="2">
        <v>8</v>
      </c>
      <c r="H220" s="16">
        <v>0.10798193302637613</v>
      </c>
      <c r="I220" s="16">
        <v>0.79788456080286541</v>
      </c>
      <c r="J220" s="16">
        <v>0.10798193302637613</v>
      </c>
      <c r="K220" s="16">
        <v>0.10650697891920077</v>
      </c>
      <c r="L220" s="16">
        <v>0.78698604216159851</v>
      </c>
      <c r="M220" s="16">
        <v>0.10650697891920077</v>
      </c>
      <c r="P220"/>
    </row>
    <row r="221" spans="1:16" x14ac:dyDescent="0.25">
      <c r="A221" s="2">
        <v>28</v>
      </c>
      <c r="B221" s="2">
        <v>2</v>
      </c>
      <c r="C221" s="2" t="s">
        <v>96</v>
      </c>
      <c r="D221" s="22">
        <v>6</v>
      </c>
      <c r="E221" s="2">
        <v>5</v>
      </c>
      <c r="F221" s="2">
        <v>6</v>
      </c>
      <c r="G221" s="2">
        <v>7</v>
      </c>
      <c r="H221" s="16">
        <v>0.10798193302637613</v>
      </c>
      <c r="I221" s="16">
        <v>0.79788456080286541</v>
      </c>
      <c r="J221" s="16">
        <v>0.10798193302637613</v>
      </c>
      <c r="K221" s="16">
        <v>0.10650697891920077</v>
      </c>
      <c r="L221" s="16">
        <v>0.78698604216159851</v>
      </c>
      <c r="M221" s="16">
        <v>0.10650697891920077</v>
      </c>
      <c r="P221"/>
    </row>
    <row r="222" spans="1:16" x14ac:dyDescent="0.25">
      <c r="A222" s="2">
        <v>28</v>
      </c>
      <c r="B222" s="2">
        <v>3</v>
      </c>
      <c r="C222" s="2" t="s">
        <v>96</v>
      </c>
      <c r="D222" s="22">
        <v>6</v>
      </c>
      <c r="E222" s="2">
        <v>5</v>
      </c>
      <c r="F222" s="2">
        <v>6</v>
      </c>
      <c r="G222" s="2">
        <v>7</v>
      </c>
      <c r="H222" s="16">
        <v>0.10798193302637613</v>
      </c>
      <c r="I222" s="16">
        <v>0.79788456080286541</v>
      </c>
      <c r="J222" s="16">
        <v>0.10798193302637613</v>
      </c>
      <c r="K222" s="16">
        <v>0.10650697891920077</v>
      </c>
      <c r="L222" s="16">
        <v>0.78698604216159851</v>
      </c>
      <c r="M222" s="16">
        <v>0.10650697891920077</v>
      </c>
      <c r="P222"/>
    </row>
    <row r="223" spans="1:16" hidden="1" x14ac:dyDescent="0.25">
      <c r="A223" s="17">
        <v>29</v>
      </c>
      <c r="B223" s="17">
        <v>1</v>
      </c>
      <c r="C223" s="17" t="s">
        <v>94</v>
      </c>
      <c r="D223" s="21">
        <v>10</v>
      </c>
      <c r="E223" s="17">
        <v>9</v>
      </c>
      <c r="F223" s="17">
        <v>10</v>
      </c>
      <c r="G223" s="17" t="s">
        <v>106</v>
      </c>
      <c r="H223" s="15">
        <v>0.10798193302637613</v>
      </c>
      <c r="I223" s="15">
        <v>0.79788456080286541</v>
      </c>
      <c r="J223" s="15" t="s">
        <v>106</v>
      </c>
      <c r="K223" s="15">
        <v>0.11920292202211756</v>
      </c>
      <c r="L223" s="15">
        <v>0.88079707797788243</v>
      </c>
      <c r="M223" s="15" t="s">
        <v>106</v>
      </c>
      <c r="P223"/>
    </row>
    <row r="224" spans="1:16" hidden="1" x14ac:dyDescent="0.25">
      <c r="A224" s="17">
        <v>29</v>
      </c>
      <c r="B224" s="17">
        <v>3</v>
      </c>
      <c r="C224" s="17" t="s">
        <v>94</v>
      </c>
      <c r="D224" s="21">
        <v>9</v>
      </c>
      <c r="E224" s="17">
        <v>8</v>
      </c>
      <c r="F224" s="17">
        <v>9</v>
      </c>
      <c r="G224" s="17">
        <v>10</v>
      </c>
      <c r="H224" s="15">
        <v>0.10798193302637613</v>
      </c>
      <c r="I224" s="15">
        <v>0.79788456080286541</v>
      </c>
      <c r="J224" s="15">
        <v>0.10798193302637613</v>
      </c>
      <c r="K224" s="15">
        <v>0.10650697891920077</v>
      </c>
      <c r="L224" s="15">
        <v>0.78698604216159851</v>
      </c>
      <c r="M224" s="15">
        <v>0.10650697891920077</v>
      </c>
      <c r="P224"/>
    </row>
    <row r="225" spans="1:16" hidden="1" x14ac:dyDescent="0.25">
      <c r="A225" s="2">
        <v>29</v>
      </c>
      <c r="B225" s="2">
        <v>1</v>
      </c>
      <c r="C225" s="2" t="s">
        <v>95</v>
      </c>
      <c r="D225" s="22">
        <v>1</v>
      </c>
      <c r="E225" s="2" t="s">
        <v>106</v>
      </c>
      <c r="F225" s="2">
        <v>1</v>
      </c>
      <c r="G225" s="2">
        <v>2</v>
      </c>
      <c r="H225" s="16" t="s">
        <v>106</v>
      </c>
      <c r="I225" s="16">
        <v>0.79788456080286541</v>
      </c>
      <c r="J225" s="16">
        <v>0.10798193302637613</v>
      </c>
      <c r="K225" s="16" t="s">
        <v>106</v>
      </c>
      <c r="L225" s="16">
        <v>0.88079707797788243</v>
      </c>
      <c r="M225" s="16">
        <v>0.11920292202211756</v>
      </c>
      <c r="P225"/>
    </row>
    <row r="226" spans="1:16" hidden="1" x14ac:dyDescent="0.25">
      <c r="A226" s="2">
        <v>29</v>
      </c>
      <c r="B226" s="2">
        <v>2</v>
      </c>
      <c r="C226" s="2" t="s">
        <v>95</v>
      </c>
      <c r="D226" s="22">
        <v>2</v>
      </c>
      <c r="E226" s="2">
        <v>1</v>
      </c>
      <c r="F226" s="2">
        <v>2</v>
      </c>
      <c r="G226" s="2">
        <v>3</v>
      </c>
      <c r="H226" s="16">
        <v>0.10798193302637613</v>
      </c>
      <c r="I226" s="16">
        <v>0.79788456080286541</v>
      </c>
      <c r="J226" s="16">
        <v>0.10798193302637613</v>
      </c>
      <c r="K226" s="16">
        <v>0.10650697891920077</v>
      </c>
      <c r="L226" s="16">
        <v>0.78698604216159851</v>
      </c>
      <c r="M226" s="16">
        <v>0.10650697891920077</v>
      </c>
      <c r="P226"/>
    </row>
    <row r="227" spans="1:16" x14ac:dyDescent="0.25">
      <c r="A227" s="17">
        <v>29</v>
      </c>
      <c r="B227" s="17">
        <v>1</v>
      </c>
      <c r="C227" s="17" t="s">
        <v>96</v>
      </c>
      <c r="D227" s="21">
        <v>7</v>
      </c>
      <c r="E227" s="17">
        <v>6</v>
      </c>
      <c r="F227" s="17">
        <v>7</v>
      </c>
      <c r="G227" s="17">
        <v>8</v>
      </c>
      <c r="H227" s="15">
        <v>0.10798193302637613</v>
      </c>
      <c r="I227" s="15">
        <v>0.79788456080286541</v>
      </c>
      <c r="J227" s="15">
        <v>0.10798193302637613</v>
      </c>
      <c r="K227" s="15">
        <v>0.10650697891920077</v>
      </c>
      <c r="L227" s="15">
        <v>0.78698604216159851</v>
      </c>
      <c r="M227" s="15">
        <v>0.10650697891920077</v>
      </c>
      <c r="P227"/>
    </row>
    <row r="228" spans="1:16" x14ac:dyDescent="0.25">
      <c r="A228" s="17">
        <v>29</v>
      </c>
      <c r="B228" s="17">
        <v>2</v>
      </c>
      <c r="C228" s="17" t="s">
        <v>96</v>
      </c>
      <c r="D228" s="21">
        <v>6</v>
      </c>
      <c r="E228" s="17">
        <v>5</v>
      </c>
      <c r="F228" s="17">
        <v>6</v>
      </c>
      <c r="G228" s="17">
        <v>7</v>
      </c>
      <c r="H228" s="15">
        <v>0.10798193302637613</v>
      </c>
      <c r="I228" s="15">
        <v>0.79788456080286541</v>
      </c>
      <c r="J228" s="15">
        <v>0.10798193302637613</v>
      </c>
      <c r="K228" s="15">
        <v>0.10650697891920077</v>
      </c>
      <c r="L228" s="15">
        <v>0.78698604216159851</v>
      </c>
      <c r="M228" s="15">
        <v>0.10650697891920077</v>
      </c>
      <c r="P228"/>
    </row>
    <row r="229" spans="1:16" x14ac:dyDescent="0.25">
      <c r="A229" s="17">
        <v>29</v>
      </c>
      <c r="B229" s="17">
        <v>3</v>
      </c>
      <c r="C229" s="17" t="s">
        <v>96</v>
      </c>
      <c r="D229" s="21">
        <v>8</v>
      </c>
      <c r="E229" s="17">
        <v>7</v>
      </c>
      <c r="F229" s="17">
        <v>8</v>
      </c>
      <c r="G229" s="17">
        <v>9</v>
      </c>
      <c r="H229" s="15">
        <v>0.10798193302637613</v>
      </c>
      <c r="I229" s="15">
        <v>0.79788456080286541</v>
      </c>
      <c r="J229" s="15">
        <v>0.10798193302637613</v>
      </c>
      <c r="K229" s="15">
        <v>0.10650697891920077</v>
      </c>
      <c r="L229" s="15">
        <v>0.78698604216159851</v>
      </c>
      <c r="M229" s="15">
        <v>0.10650697891920077</v>
      </c>
      <c r="P229"/>
    </row>
    <row r="230" spans="1:16" hidden="1" x14ac:dyDescent="0.25">
      <c r="A230" s="2">
        <v>30</v>
      </c>
      <c r="B230" s="2">
        <v>1</v>
      </c>
      <c r="C230" s="2" t="s">
        <v>94</v>
      </c>
      <c r="D230" s="22">
        <v>10</v>
      </c>
      <c r="E230" s="2">
        <v>9</v>
      </c>
      <c r="F230" s="2">
        <v>10</v>
      </c>
      <c r="G230" s="2" t="s">
        <v>106</v>
      </c>
      <c r="H230" s="16">
        <v>0.10798193302637613</v>
      </c>
      <c r="I230" s="16">
        <v>0.79788456080286541</v>
      </c>
      <c r="J230" s="16" t="s">
        <v>106</v>
      </c>
      <c r="K230" s="16">
        <v>0.11920292202211756</v>
      </c>
      <c r="L230" s="16">
        <v>0.88079707797788243</v>
      </c>
      <c r="M230" s="16" t="s">
        <v>106</v>
      </c>
      <c r="P230"/>
    </row>
    <row r="231" spans="1:16" hidden="1" x14ac:dyDescent="0.25">
      <c r="A231" s="2">
        <v>30</v>
      </c>
      <c r="B231" s="2">
        <v>2</v>
      </c>
      <c r="C231" s="2" t="s">
        <v>94</v>
      </c>
      <c r="D231" s="22">
        <v>8</v>
      </c>
      <c r="E231" s="2">
        <v>7</v>
      </c>
      <c r="F231" s="2">
        <v>8</v>
      </c>
      <c r="G231" s="2">
        <v>9</v>
      </c>
      <c r="H231" s="16">
        <v>0.10798193302637613</v>
      </c>
      <c r="I231" s="16">
        <v>0.79788456080286541</v>
      </c>
      <c r="J231" s="16">
        <v>0.10798193302637613</v>
      </c>
      <c r="K231" s="16">
        <v>0.10650697891920077</v>
      </c>
      <c r="L231" s="16">
        <v>0.78698604216159851</v>
      </c>
      <c r="M231" s="16">
        <v>0.10650697891920077</v>
      </c>
      <c r="P231"/>
    </row>
    <row r="232" spans="1:16" hidden="1" x14ac:dyDescent="0.25">
      <c r="A232" s="2">
        <v>30</v>
      </c>
      <c r="B232" s="2">
        <v>3</v>
      </c>
      <c r="C232" s="2" t="s">
        <v>94</v>
      </c>
      <c r="D232" s="22">
        <v>6</v>
      </c>
      <c r="E232" s="2">
        <v>5</v>
      </c>
      <c r="F232" s="2">
        <v>6</v>
      </c>
      <c r="G232" s="2">
        <v>7</v>
      </c>
      <c r="H232" s="16">
        <v>0.10798193302637613</v>
      </c>
      <c r="I232" s="16">
        <v>0.79788456080286541</v>
      </c>
      <c r="J232" s="16">
        <v>0.10798193302637613</v>
      </c>
      <c r="K232" s="16">
        <v>0.10650697891920077</v>
      </c>
      <c r="L232" s="16">
        <v>0.78698604216159851</v>
      </c>
      <c r="M232" s="16">
        <v>0.10650697891920077</v>
      </c>
      <c r="P232"/>
    </row>
    <row r="233" spans="1:16" hidden="1" x14ac:dyDescent="0.25">
      <c r="A233" s="17">
        <v>30</v>
      </c>
      <c r="B233" s="17">
        <v>2</v>
      </c>
      <c r="C233" s="17" t="s">
        <v>95</v>
      </c>
      <c r="D233" s="21">
        <v>7</v>
      </c>
      <c r="E233" s="17">
        <v>6</v>
      </c>
      <c r="F233" s="17">
        <v>7</v>
      </c>
      <c r="G233" s="17">
        <v>8</v>
      </c>
      <c r="H233" s="15">
        <v>0.10798193302637613</v>
      </c>
      <c r="I233" s="15">
        <v>0.79788456080286541</v>
      </c>
      <c r="J233" s="15">
        <v>0.10798193302637613</v>
      </c>
      <c r="K233" s="15">
        <v>0.10650697891920077</v>
      </c>
      <c r="L233" s="15">
        <v>0.78698604216159851</v>
      </c>
      <c r="M233" s="15">
        <v>0.10650697891920077</v>
      </c>
      <c r="P233"/>
    </row>
    <row r="234" spans="1:16" hidden="1" x14ac:dyDescent="0.25">
      <c r="A234" s="17">
        <v>30</v>
      </c>
      <c r="B234" s="17">
        <v>3</v>
      </c>
      <c r="C234" s="17" t="s">
        <v>95</v>
      </c>
      <c r="D234" s="21">
        <v>7</v>
      </c>
      <c r="E234" s="17">
        <v>6</v>
      </c>
      <c r="F234" s="17">
        <v>7</v>
      </c>
      <c r="G234" s="17">
        <v>8</v>
      </c>
      <c r="H234" s="15">
        <v>0.10798193302637613</v>
      </c>
      <c r="I234" s="15">
        <v>0.79788456080286541</v>
      </c>
      <c r="J234" s="15">
        <v>0.10798193302637613</v>
      </c>
      <c r="K234" s="15">
        <v>0.10650697891920077</v>
      </c>
      <c r="L234" s="15">
        <v>0.78698604216159851</v>
      </c>
      <c r="M234" s="15">
        <v>0.10650697891920077</v>
      </c>
      <c r="P234"/>
    </row>
    <row r="235" spans="1:16" x14ac:dyDescent="0.25">
      <c r="A235" s="2">
        <v>30</v>
      </c>
      <c r="B235" s="2">
        <v>1</v>
      </c>
      <c r="C235" s="2" t="s">
        <v>96</v>
      </c>
      <c r="D235" s="22">
        <v>8</v>
      </c>
      <c r="E235" s="2">
        <v>7</v>
      </c>
      <c r="F235" s="2">
        <v>8</v>
      </c>
      <c r="G235" s="2">
        <v>9</v>
      </c>
      <c r="H235" s="16">
        <v>0.10798193302637613</v>
      </c>
      <c r="I235" s="16">
        <v>0.79788456080286541</v>
      </c>
      <c r="J235" s="16">
        <v>0.10798193302637613</v>
      </c>
      <c r="K235" s="16">
        <v>0.10650697891920077</v>
      </c>
      <c r="L235" s="16">
        <v>0.78698604216159851</v>
      </c>
      <c r="M235" s="16">
        <v>0.10650697891920077</v>
      </c>
      <c r="P235"/>
    </row>
    <row r="236" spans="1:16" x14ac:dyDescent="0.25">
      <c r="A236" s="2">
        <v>30</v>
      </c>
      <c r="B236" s="2">
        <v>2</v>
      </c>
      <c r="C236" s="2" t="s">
        <v>96</v>
      </c>
      <c r="D236" s="22">
        <v>9</v>
      </c>
      <c r="E236" s="2">
        <v>8</v>
      </c>
      <c r="F236" s="2">
        <v>9</v>
      </c>
      <c r="G236" s="2">
        <v>10</v>
      </c>
      <c r="H236" s="16">
        <v>0.10798193302637613</v>
      </c>
      <c r="I236" s="16">
        <v>0.79788456080286541</v>
      </c>
      <c r="J236" s="16">
        <v>0.10798193302637613</v>
      </c>
      <c r="K236" s="16">
        <v>0.10650697891920077</v>
      </c>
      <c r="L236" s="16">
        <v>0.78698604216159851</v>
      </c>
      <c r="M236" s="16">
        <v>0.10650697891920077</v>
      </c>
      <c r="P236"/>
    </row>
    <row r="237" spans="1:16" x14ac:dyDescent="0.25">
      <c r="A237" s="2">
        <v>30</v>
      </c>
      <c r="B237" s="2">
        <v>3</v>
      </c>
      <c r="C237" s="2" t="s">
        <v>96</v>
      </c>
      <c r="D237" s="22">
        <v>9</v>
      </c>
      <c r="E237" s="2">
        <v>8</v>
      </c>
      <c r="F237" s="2">
        <v>9</v>
      </c>
      <c r="G237" s="2">
        <v>10</v>
      </c>
      <c r="H237" s="16">
        <v>0.10798193302637613</v>
      </c>
      <c r="I237" s="16">
        <v>0.79788456080286541</v>
      </c>
      <c r="J237" s="16">
        <v>0.10798193302637613</v>
      </c>
      <c r="K237" s="16">
        <v>0.10650697891920077</v>
      </c>
      <c r="L237" s="16">
        <v>0.78698604216159851</v>
      </c>
      <c r="M237" s="16">
        <v>0.10650697891920077</v>
      </c>
      <c r="P237"/>
    </row>
    <row r="238" spans="1:16" hidden="1" x14ac:dyDescent="0.25">
      <c r="A238" s="17">
        <v>31</v>
      </c>
      <c r="B238" s="17">
        <v>2</v>
      </c>
      <c r="C238" s="17" t="s">
        <v>94</v>
      </c>
      <c r="D238" s="21">
        <v>5</v>
      </c>
      <c r="E238" s="17">
        <v>4</v>
      </c>
      <c r="F238" s="17">
        <v>5</v>
      </c>
      <c r="G238" s="17">
        <v>6</v>
      </c>
      <c r="H238" s="15">
        <v>0.10798193302637613</v>
      </c>
      <c r="I238" s="15">
        <v>0.79788456080286541</v>
      </c>
      <c r="J238" s="15">
        <v>0.10798193302637613</v>
      </c>
      <c r="K238" s="15">
        <v>0.10650697891920077</v>
      </c>
      <c r="L238" s="15">
        <v>0.78698604216159851</v>
      </c>
      <c r="M238" s="15">
        <v>0.10650697891920077</v>
      </c>
      <c r="P238"/>
    </row>
    <row r="239" spans="1:16" hidden="1" x14ac:dyDescent="0.25">
      <c r="A239" s="17">
        <v>31</v>
      </c>
      <c r="B239" s="17">
        <v>3</v>
      </c>
      <c r="C239" s="17" t="s">
        <v>94</v>
      </c>
      <c r="D239" s="21">
        <v>6</v>
      </c>
      <c r="E239" s="17">
        <v>5</v>
      </c>
      <c r="F239" s="17">
        <v>6</v>
      </c>
      <c r="G239" s="17">
        <v>7</v>
      </c>
      <c r="H239" s="15">
        <v>0.10798193302637613</v>
      </c>
      <c r="I239" s="15">
        <v>0.79788456080286541</v>
      </c>
      <c r="J239" s="15">
        <v>0.10798193302637613</v>
      </c>
      <c r="K239" s="15">
        <v>0.10650697891920077</v>
      </c>
      <c r="L239" s="15">
        <v>0.78698604216159851</v>
      </c>
      <c r="M239" s="15">
        <v>0.10650697891920077</v>
      </c>
      <c r="P239"/>
    </row>
    <row r="240" spans="1:16" hidden="1" x14ac:dyDescent="0.25">
      <c r="A240" s="2">
        <v>31</v>
      </c>
      <c r="B240" s="2">
        <v>1</v>
      </c>
      <c r="C240" s="2" t="s">
        <v>95</v>
      </c>
      <c r="D240" s="22">
        <v>6</v>
      </c>
      <c r="E240" s="2">
        <v>5</v>
      </c>
      <c r="F240" s="2">
        <v>6</v>
      </c>
      <c r="G240" s="2">
        <v>7</v>
      </c>
      <c r="H240" s="16">
        <v>0.10798193302637613</v>
      </c>
      <c r="I240" s="16">
        <v>0.79788456080286541</v>
      </c>
      <c r="J240" s="16">
        <v>0.10798193302637613</v>
      </c>
      <c r="K240" s="16">
        <v>0.10650697891920077</v>
      </c>
      <c r="L240" s="16">
        <v>0.78698604216159851</v>
      </c>
      <c r="M240" s="16">
        <v>0.10650697891920077</v>
      </c>
      <c r="P240"/>
    </row>
    <row r="241" spans="1:16" hidden="1" x14ac:dyDescent="0.25">
      <c r="A241" s="2">
        <v>31</v>
      </c>
      <c r="B241" s="2">
        <v>3</v>
      </c>
      <c r="C241" s="2" t="s">
        <v>95</v>
      </c>
      <c r="D241" s="22">
        <v>6</v>
      </c>
      <c r="E241" s="2">
        <v>5</v>
      </c>
      <c r="F241" s="2">
        <v>6</v>
      </c>
      <c r="G241" s="2">
        <v>7</v>
      </c>
      <c r="H241" s="16">
        <v>0.10798193302637613</v>
      </c>
      <c r="I241" s="16">
        <v>0.79788456080286541</v>
      </c>
      <c r="J241" s="16">
        <v>0.10798193302637613</v>
      </c>
      <c r="K241" s="16">
        <v>0.10650697891920077</v>
      </c>
      <c r="L241" s="16">
        <v>0.78698604216159851</v>
      </c>
      <c r="M241" s="16">
        <v>0.10650697891920077</v>
      </c>
      <c r="P241"/>
    </row>
    <row r="242" spans="1:16" x14ac:dyDescent="0.25">
      <c r="A242" s="17">
        <v>31</v>
      </c>
      <c r="B242" s="17">
        <v>1</v>
      </c>
      <c r="C242" s="17" t="s">
        <v>96</v>
      </c>
      <c r="D242" s="21">
        <v>10</v>
      </c>
      <c r="E242" s="17">
        <v>9</v>
      </c>
      <c r="F242" s="17">
        <v>10</v>
      </c>
      <c r="G242" s="17" t="s">
        <v>106</v>
      </c>
      <c r="H242" s="15">
        <v>0.10798193302637613</v>
      </c>
      <c r="I242" s="15">
        <v>0.79788456080286541</v>
      </c>
      <c r="J242" s="15" t="s">
        <v>106</v>
      </c>
      <c r="K242" s="15">
        <v>0.11920292202211756</v>
      </c>
      <c r="L242" s="15">
        <v>0.88079707797788243</v>
      </c>
      <c r="M242" s="15" t="s">
        <v>106</v>
      </c>
      <c r="P242"/>
    </row>
    <row r="243" spans="1:16" x14ac:dyDescent="0.25">
      <c r="A243" s="17">
        <v>31</v>
      </c>
      <c r="B243" s="17">
        <v>2</v>
      </c>
      <c r="C243" s="17" t="s">
        <v>96</v>
      </c>
      <c r="D243" s="21">
        <v>6</v>
      </c>
      <c r="E243" s="17">
        <v>5</v>
      </c>
      <c r="F243" s="17">
        <v>6</v>
      </c>
      <c r="G243" s="17">
        <v>7</v>
      </c>
      <c r="H243" s="15">
        <v>0.10798193302637613</v>
      </c>
      <c r="I243" s="15">
        <v>0.79788456080286541</v>
      </c>
      <c r="J243" s="15">
        <v>0.10798193302637613</v>
      </c>
      <c r="K243" s="15">
        <v>0.10650697891920077</v>
      </c>
      <c r="L243" s="15">
        <v>0.78698604216159851</v>
      </c>
      <c r="M243" s="15">
        <v>0.10650697891920077</v>
      </c>
      <c r="P243"/>
    </row>
    <row r="244" spans="1:16" x14ac:dyDescent="0.25">
      <c r="A244" s="17">
        <v>31</v>
      </c>
      <c r="B244" s="17">
        <v>3</v>
      </c>
      <c r="C244" s="17" t="s">
        <v>96</v>
      </c>
      <c r="D244" s="21">
        <v>8</v>
      </c>
      <c r="E244" s="17">
        <v>7</v>
      </c>
      <c r="F244" s="17">
        <v>8</v>
      </c>
      <c r="G244" s="17">
        <v>9</v>
      </c>
      <c r="H244" s="15">
        <v>0.10798193302637613</v>
      </c>
      <c r="I244" s="15">
        <v>0.79788456080286541</v>
      </c>
      <c r="J244" s="15">
        <v>0.10798193302637613</v>
      </c>
      <c r="K244" s="15">
        <v>0.10650697891920077</v>
      </c>
      <c r="L244" s="15">
        <v>0.78698604216159851</v>
      </c>
      <c r="M244" s="15">
        <v>0.10650697891920077</v>
      </c>
      <c r="P244"/>
    </row>
    <row r="245" spans="1:16" hidden="1" x14ac:dyDescent="0.25">
      <c r="A245" s="2">
        <v>32</v>
      </c>
      <c r="B245" s="2">
        <v>2</v>
      </c>
      <c r="C245" s="2" t="s">
        <v>94</v>
      </c>
      <c r="D245" s="22">
        <v>6</v>
      </c>
      <c r="E245" s="2">
        <v>5</v>
      </c>
      <c r="F245" s="2">
        <v>6</v>
      </c>
      <c r="G245" s="2">
        <v>7</v>
      </c>
      <c r="H245" s="16">
        <v>0.10798193302637613</v>
      </c>
      <c r="I245" s="16">
        <v>0.79788456080286541</v>
      </c>
      <c r="J245" s="16">
        <v>0.10798193302637613</v>
      </c>
      <c r="K245" s="16">
        <v>0.10650697891920077</v>
      </c>
      <c r="L245" s="16">
        <v>0.78698604216159851</v>
      </c>
      <c r="M245" s="16">
        <v>0.10650697891920077</v>
      </c>
      <c r="P245"/>
    </row>
    <row r="246" spans="1:16" hidden="1" x14ac:dyDescent="0.25">
      <c r="A246" s="2">
        <v>32</v>
      </c>
      <c r="B246" s="2">
        <v>3</v>
      </c>
      <c r="C246" s="2" t="s">
        <v>94</v>
      </c>
      <c r="D246" s="22">
        <v>7</v>
      </c>
      <c r="E246" s="2">
        <v>6</v>
      </c>
      <c r="F246" s="2">
        <v>7</v>
      </c>
      <c r="G246" s="2">
        <v>8</v>
      </c>
      <c r="H246" s="16">
        <v>0.10798193302637613</v>
      </c>
      <c r="I246" s="16">
        <v>0.79788456080286541</v>
      </c>
      <c r="J246" s="16">
        <v>0.10798193302637613</v>
      </c>
      <c r="K246" s="16">
        <v>0.10650697891920077</v>
      </c>
      <c r="L246" s="16">
        <v>0.78698604216159851</v>
      </c>
      <c r="M246" s="16">
        <v>0.10650697891920077</v>
      </c>
      <c r="P246"/>
    </row>
    <row r="247" spans="1:16" hidden="1" x14ac:dyDescent="0.25">
      <c r="A247" s="17">
        <v>32</v>
      </c>
      <c r="B247" s="17">
        <v>1</v>
      </c>
      <c r="C247" s="17" t="s">
        <v>95</v>
      </c>
      <c r="D247" s="21">
        <v>7</v>
      </c>
      <c r="E247" s="17">
        <v>6</v>
      </c>
      <c r="F247" s="17">
        <v>7</v>
      </c>
      <c r="G247" s="17">
        <v>8</v>
      </c>
      <c r="H247" s="15">
        <v>0.10798193302637613</v>
      </c>
      <c r="I247" s="15">
        <v>0.79788456080286541</v>
      </c>
      <c r="J247" s="15">
        <v>0.10798193302637613</v>
      </c>
      <c r="K247" s="15">
        <v>0.10650697891920077</v>
      </c>
      <c r="L247" s="15">
        <v>0.78698604216159851</v>
      </c>
      <c r="M247" s="15">
        <v>0.10650697891920077</v>
      </c>
      <c r="P247"/>
    </row>
    <row r="248" spans="1:16" hidden="1" x14ac:dyDescent="0.25">
      <c r="A248" s="17">
        <v>32</v>
      </c>
      <c r="B248" s="17">
        <v>2</v>
      </c>
      <c r="C248" s="17" t="s">
        <v>95</v>
      </c>
      <c r="D248" s="21">
        <v>4</v>
      </c>
      <c r="E248" s="17">
        <v>3</v>
      </c>
      <c r="F248" s="17">
        <v>4</v>
      </c>
      <c r="G248" s="17">
        <v>5</v>
      </c>
      <c r="H248" s="15">
        <v>0.10798193302637613</v>
      </c>
      <c r="I248" s="15">
        <v>0.79788456080286541</v>
      </c>
      <c r="J248" s="15">
        <v>0.10798193302637613</v>
      </c>
      <c r="K248" s="15">
        <v>0.10650697891920077</v>
      </c>
      <c r="L248" s="15">
        <v>0.78698604216159851</v>
      </c>
      <c r="M248" s="15">
        <v>0.10650697891920077</v>
      </c>
      <c r="P248"/>
    </row>
    <row r="249" spans="1:16" hidden="1" x14ac:dyDescent="0.25">
      <c r="A249" s="17">
        <v>32</v>
      </c>
      <c r="B249" s="17">
        <v>3</v>
      </c>
      <c r="C249" s="17" t="s">
        <v>95</v>
      </c>
      <c r="D249" s="21">
        <v>6</v>
      </c>
      <c r="E249" s="17">
        <v>5</v>
      </c>
      <c r="F249" s="17">
        <v>6</v>
      </c>
      <c r="G249" s="17">
        <v>7</v>
      </c>
      <c r="H249" s="15">
        <v>0.10798193302637613</v>
      </c>
      <c r="I249" s="15">
        <v>0.79788456080286541</v>
      </c>
      <c r="J249" s="15">
        <v>0.10798193302637613</v>
      </c>
      <c r="K249" s="15">
        <v>0.10650697891920077</v>
      </c>
      <c r="L249" s="15">
        <v>0.78698604216159851</v>
      </c>
      <c r="M249" s="15">
        <v>0.10650697891920077</v>
      </c>
      <c r="P249"/>
    </row>
    <row r="250" spans="1:16" x14ac:dyDescent="0.25">
      <c r="A250" s="2">
        <v>32</v>
      </c>
      <c r="B250" s="2">
        <v>2</v>
      </c>
      <c r="C250" s="2" t="s">
        <v>96</v>
      </c>
      <c r="D250" s="22">
        <v>7</v>
      </c>
      <c r="E250" s="2">
        <v>6</v>
      </c>
      <c r="F250" s="2">
        <v>7</v>
      </c>
      <c r="G250" s="2">
        <v>8</v>
      </c>
      <c r="H250" s="16">
        <v>0.10798193302637613</v>
      </c>
      <c r="I250" s="16">
        <v>0.79788456080286541</v>
      </c>
      <c r="J250" s="16">
        <v>0.10798193302637613</v>
      </c>
      <c r="K250" s="16">
        <v>0.10650697891920077</v>
      </c>
      <c r="L250" s="16">
        <v>0.78698604216159851</v>
      </c>
      <c r="M250" s="16">
        <v>0.10650697891920077</v>
      </c>
      <c r="P250"/>
    </row>
    <row r="251" spans="1:16" x14ac:dyDescent="0.25">
      <c r="A251" s="2">
        <v>32</v>
      </c>
      <c r="B251" s="2">
        <v>3</v>
      </c>
      <c r="C251" s="2" t="s">
        <v>96</v>
      </c>
      <c r="D251" s="22">
        <v>8</v>
      </c>
      <c r="E251" s="2">
        <v>7</v>
      </c>
      <c r="F251" s="2">
        <v>8</v>
      </c>
      <c r="G251" s="2">
        <v>9</v>
      </c>
      <c r="H251" s="16">
        <v>0.10798193302637613</v>
      </c>
      <c r="I251" s="16">
        <v>0.79788456080286541</v>
      </c>
      <c r="J251" s="16">
        <v>0.10798193302637613</v>
      </c>
      <c r="K251" s="16">
        <v>0.10650697891920077</v>
      </c>
      <c r="L251" s="16">
        <v>0.78698604216159851</v>
      </c>
      <c r="M251" s="16">
        <v>0.10650697891920077</v>
      </c>
      <c r="P251"/>
    </row>
    <row r="252" spans="1:16" hidden="1" x14ac:dyDescent="0.25">
      <c r="A252" s="17">
        <v>33</v>
      </c>
      <c r="B252" s="17">
        <v>1</v>
      </c>
      <c r="C252" s="17" t="s">
        <v>94</v>
      </c>
      <c r="D252" s="21">
        <v>10</v>
      </c>
      <c r="E252" s="17">
        <v>9</v>
      </c>
      <c r="F252" s="17">
        <v>10</v>
      </c>
      <c r="G252" s="17" t="s">
        <v>106</v>
      </c>
      <c r="H252" s="15">
        <v>0.10798193302637613</v>
      </c>
      <c r="I252" s="15">
        <v>0.79788456080286541</v>
      </c>
      <c r="J252" s="15" t="s">
        <v>106</v>
      </c>
      <c r="K252" s="15">
        <v>0.11920292202211756</v>
      </c>
      <c r="L252" s="15">
        <v>0.88079707797788243</v>
      </c>
      <c r="M252" s="15" t="s">
        <v>106</v>
      </c>
      <c r="P252"/>
    </row>
    <row r="253" spans="1:16" hidden="1" x14ac:dyDescent="0.25">
      <c r="A253" s="17">
        <v>33</v>
      </c>
      <c r="B253" s="17">
        <v>2</v>
      </c>
      <c r="C253" s="17" t="s">
        <v>94</v>
      </c>
      <c r="D253" s="21">
        <v>10</v>
      </c>
      <c r="E253" s="17">
        <v>9</v>
      </c>
      <c r="F253" s="17">
        <v>10</v>
      </c>
      <c r="G253" s="17" t="s">
        <v>106</v>
      </c>
      <c r="H253" s="15">
        <v>0.10798193302637613</v>
      </c>
      <c r="I253" s="15">
        <v>0.79788456080286541</v>
      </c>
      <c r="J253" s="15" t="s">
        <v>106</v>
      </c>
      <c r="K253" s="15">
        <v>0.11920292202211756</v>
      </c>
      <c r="L253" s="15">
        <v>0.88079707797788243</v>
      </c>
      <c r="M253" s="15" t="s">
        <v>106</v>
      </c>
      <c r="P253"/>
    </row>
    <row r="254" spans="1:16" hidden="1" x14ac:dyDescent="0.25">
      <c r="A254" s="2">
        <v>33</v>
      </c>
      <c r="B254" s="2">
        <v>1</v>
      </c>
      <c r="C254" s="2" t="s">
        <v>95</v>
      </c>
      <c r="D254" s="22">
        <v>8</v>
      </c>
      <c r="E254" s="2">
        <v>7</v>
      </c>
      <c r="F254" s="2">
        <v>8</v>
      </c>
      <c r="G254" s="2">
        <v>9</v>
      </c>
      <c r="H254" s="16">
        <v>0.10798193302637613</v>
      </c>
      <c r="I254" s="16">
        <v>0.79788456080286541</v>
      </c>
      <c r="J254" s="16">
        <v>0.10798193302637613</v>
      </c>
      <c r="K254" s="16">
        <v>0.10650697891920077</v>
      </c>
      <c r="L254" s="16">
        <v>0.78698604216159851</v>
      </c>
      <c r="M254" s="16">
        <v>0.10650697891920077</v>
      </c>
      <c r="P254"/>
    </row>
    <row r="255" spans="1:16" hidden="1" x14ac:dyDescent="0.25">
      <c r="A255" s="2">
        <v>33</v>
      </c>
      <c r="B255" s="2">
        <v>2</v>
      </c>
      <c r="C255" s="2" t="s">
        <v>95</v>
      </c>
      <c r="D255" s="22">
        <v>5</v>
      </c>
      <c r="E255" s="2">
        <v>4</v>
      </c>
      <c r="F255" s="2">
        <v>5</v>
      </c>
      <c r="G255" s="2">
        <v>6</v>
      </c>
      <c r="H255" s="16">
        <v>0.10798193302637613</v>
      </c>
      <c r="I255" s="16">
        <v>0.79788456080286541</v>
      </c>
      <c r="J255" s="16">
        <v>0.10798193302637613</v>
      </c>
      <c r="K255" s="16">
        <v>0.10650697891920077</v>
      </c>
      <c r="L255" s="16">
        <v>0.78698604216159851</v>
      </c>
      <c r="M255" s="16">
        <v>0.10650697891920077</v>
      </c>
      <c r="P255"/>
    </row>
    <row r="256" spans="1:16" hidden="1" x14ac:dyDescent="0.25">
      <c r="A256" s="2">
        <v>33</v>
      </c>
      <c r="B256" s="2">
        <v>3</v>
      </c>
      <c r="C256" s="2" t="s">
        <v>95</v>
      </c>
      <c r="D256" s="22">
        <v>6</v>
      </c>
      <c r="E256" s="2">
        <v>5</v>
      </c>
      <c r="F256" s="2">
        <v>6</v>
      </c>
      <c r="G256" s="2">
        <v>7</v>
      </c>
      <c r="H256" s="16">
        <v>0.10798193302637613</v>
      </c>
      <c r="I256" s="16">
        <v>0.79788456080286541</v>
      </c>
      <c r="J256" s="16">
        <v>0.10798193302637613</v>
      </c>
      <c r="K256" s="16">
        <v>0.10650697891920077</v>
      </c>
      <c r="L256" s="16">
        <v>0.78698604216159851</v>
      </c>
      <c r="M256" s="16">
        <v>0.10650697891920077</v>
      </c>
      <c r="P256"/>
    </row>
    <row r="257" spans="1:16" x14ac:dyDescent="0.25">
      <c r="A257" s="17">
        <v>33</v>
      </c>
      <c r="B257" s="17">
        <v>1</v>
      </c>
      <c r="C257" s="17" t="s">
        <v>96</v>
      </c>
      <c r="D257" s="21">
        <v>10</v>
      </c>
      <c r="E257" s="17">
        <v>9</v>
      </c>
      <c r="F257" s="17">
        <v>10</v>
      </c>
      <c r="G257" s="17" t="s">
        <v>106</v>
      </c>
      <c r="H257" s="15">
        <v>0.10798193302637613</v>
      </c>
      <c r="I257" s="15">
        <v>0.79788456080286541</v>
      </c>
      <c r="J257" s="15" t="s">
        <v>106</v>
      </c>
      <c r="K257" s="15">
        <v>0.11920292202211756</v>
      </c>
      <c r="L257" s="15">
        <v>0.88079707797788243</v>
      </c>
      <c r="M257" s="15" t="s">
        <v>106</v>
      </c>
      <c r="P257"/>
    </row>
    <row r="258" spans="1:16" x14ac:dyDescent="0.25">
      <c r="A258" s="17">
        <v>33</v>
      </c>
      <c r="B258" s="17">
        <v>2</v>
      </c>
      <c r="C258" s="17" t="s">
        <v>96</v>
      </c>
      <c r="D258" s="21">
        <v>10</v>
      </c>
      <c r="E258" s="17">
        <v>9</v>
      </c>
      <c r="F258" s="17">
        <v>10</v>
      </c>
      <c r="G258" s="17" t="s">
        <v>106</v>
      </c>
      <c r="H258" s="15">
        <v>0.10798193302637613</v>
      </c>
      <c r="I258" s="15">
        <v>0.79788456080286541</v>
      </c>
      <c r="J258" s="15" t="s">
        <v>106</v>
      </c>
      <c r="K258" s="15">
        <v>0.11920292202211756</v>
      </c>
      <c r="L258" s="15">
        <v>0.88079707797788243</v>
      </c>
      <c r="M258" s="15" t="s">
        <v>106</v>
      </c>
      <c r="P258"/>
    </row>
    <row r="259" spans="1:16" x14ac:dyDescent="0.25">
      <c r="A259" s="17">
        <v>33</v>
      </c>
      <c r="B259" s="17">
        <v>3</v>
      </c>
      <c r="C259" s="17" t="s">
        <v>96</v>
      </c>
      <c r="D259" s="21">
        <v>8</v>
      </c>
      <c r="E259" s="17">
        <v>7</v>
      </c>
      <c r="F259" s="17">
        <v>8</v>
      </c>
      <c r="G259" s="17">
        <v>9</v>
      </c>
      <c r="H259" s="15">
        <v>0.10798193302637613</v>
      </c>
      <c r="I259" s="15">
        <v>0.79788456080286541</v>
      </c>
      <c r="J259" s="15">
        <v>0.10798193302637613</v>
      </c>
      <c r="K259" s="15">
        <v>0.10650697891920077</v>
      </c>
      <c r="L259" s="15">
        <v>0.78698604216159851</v>
      </c>
      <c r="M259" s="15">
        <v>0.10650697891920077</v>
      </c>
      <c r="P259"/>
    </row>
    <row r="260" spans="1:16" hidden="1" x14ac:dyDescent="0.25">
      <c r="A260" s="2">
        <v>34</v>
      </c>
      <c r="B260" s="2">
        <v>1</v>
      </c>
      <c r="C260" s="2" t="s">
        <v>94</v>
      </c>
      <c r="D260" s="22">
        <v>10</v>
      </c>
      <c r="E260" s="2">
        <v>9</v>
      </c>
      <c r="F260" s="2">
        <v>10</v>
      </c>
      <c r="G260" s="2" t="s">
        <v>106</v>
      </c>
      <c r="H260" s="16">
        <v>0.10798193302637613</v>
      </c>
      <c r="I260" s="16">
        <v>0.79788456080286541</v>
      </c>
      <c r="J260" s="16" t="s">
        <v>106</v>
      </c>
      <c r="K260" s="16">
        <v>0.11920292202211756</v>
      </c>
      <c r="L260" s="16">
        <v>0.88079707797788243</v>
      </c>
      <c r="M260" s="16" t="s">
        <v>106</v>
      </c>
      <c r="P260"/>
    </row>
    <row r="261" spans="1:16" hidden="1" x14ac:dyDescent="0.25">
      <c r="A261" s="2">
        <v>34</v>
      </c>
      <c r="B261" s="2">
        <v>2</v>
      </c>
      <c r="C261" s="2" t="s">
        <v>94</v>
      </c>
      <c r="D261" s="22">
        <v>7</v>
      </c>
      <c r="E261" s="2">
        <v>6</v>
      </c>
      <c r="F261" s="2">
        <v>7</v>
      </c>
      <c r="G261" s="2">
        <v>8</v>
      </c>
      <c r="H261" s="16">
        <v>0.10798193302637613</v>
      </c>
      <c r="I261" s="16">
        <v>0.79788456080286541</v>
      </c>
      <c r="J261" s="16">
        <v>0.10798193302637613</v>
      </c>
      <c r="K261" s="16">
        <v>0.10650697891920077</v>
      </c>
      <c r="L261" s="16">
        <v>0.78698604216159851</v>
      </c>
      <c r="M261" s="16">
        <v>0.10650697891920077</v>
      </c>
      <c r="P261"/>
    </row>
    <row r="262" spans="1:16" hidden="1" x14ac:dyDescent="0.25">
      <c r="A262" s="2">
        <v>34</v>
      </c>
      <c r="B262" s="2">
        <v>3</v>
      </c>
      <c r="C262" s="2" t="s">
        <v>94</v>
      </c>
      <c r="D262" s="22">
        <v>8</v>
      </c>
      <c r="E262" s="2">
        <v>7</v>
      </c>
      <c r="F262" s="2">
        <v>8</v>
      </c>
      <c r="G262" s="2">
        <v>9</v>
      </c>
      <c r="H262" s="16">
        <v>0.10798193302637613</v>
      </c>
      <c r="I262" s="16">
        <v>0.79788456080286541</v>
      </c>
      <c r="J262" s="16">
        <v>0.10798193302637613</v>
      </c>
      <c r="K262" s="16">
        <v>0.10650697891920077</v>
      </c>
      <c r="L262" s="16">
        <v>0.78698604216159851</v>
      </c>
      <c r="M262" s="16">
        <v>0.10650697891920077</v>
      </c>
      <c r="P262"/>
    </row>
    <row r="263" spans="1:16" hidden="1" x14ac:dyDescent="0.25">
      <c r="A263" s="17">
        <v>34</v>
      </c>
      <c r="B263" s="17">
        <v>1</v>
      </c>
      <c r="C263" s="17" t="s">
        <v>95</v>
      </c>
      <c r="D263" s="21">
        <v>5</v>
      </c>
      <c r="E263" s="17">
        <v>4</v>
      </c>
      <c r="F263" s="17">
        <v>5</v>
      </c>
      <c r="G263" s="17">
        <v>6</v>
      </c>
      <c r="H263" s="15">
        <v>0.10798193302637613</v>
      </c>
      <c r="I263" s="15">
        <v>0.79788456080286541</v>
      </c>
      <c r="J263" s="15">
        <v>0.10798193302637613</v>
      </c>
      <c r="K263" s="15">
        <v>0.10650697891920077</v>
      </c>
      <c r="L263" s="15">
        <v>0.78698604216159851</v>
      </c>
      <c r="M263" s="15">
        <v>0.10650697891920077</v>
      </c>
      <c r="P263"/>
    </row>
    <row r="264" spans="1:16" hidden="1" x14ac:dyDescent="0.25">
      <c r="A264" s="17">
        <v>34</v>
      </c>
      <c r="B264" s="17">
        <v>2</v>
      </c>
      <c r="C264" s="17" t="s">
        <v>95</v>
      </c>
      <c r="D264" s="21">
        <v>7</v>
      </c>
      <c r="E264" s="17">
        <v>6</v>
      </c>
      <c r="F264" s="17">
        <v>7</v>
      </c>
      <c r="G264" s="17">
        <v>8</v>
      </c>
      <c r="H264" s="15">
        <v>0.10798193302637613</v>
      </c>
      <c r="I264" s="15">
        <v>0.79788456080286541</v>
      </c>
      <c r="J264" s="15">
        <v>0.10798193302637613</v>
      </c>
      <c r="K264" s="15">
        <v>0.10650697891920077</v>
      </c>
      <c r="L264" s="15">
        <v>0.78698604216159851</v>
      </c>
      <c r="M264" s="15">
        <v>0.10650697891920077</v>
      </c>
      <c r="P264"/>
    </row>
    <row r="265" spans="1:16" hidden="1" x14ac:dyDescent="0.25">
      <c r="A265" s="17">
        <v>34</v>
      </c>
      <c r="B265" s="17">
        <v>3</v>
      </c>
      <c r="C265" s="17" t="s">
        <v>95</v>
      </c>
      <c r="D265" s="21">
        <v>7</v>
      </c>
      <c r="E265" s="17">
        <v>6</v>
      </c>
      <c r="F265" s="17">
        <v>7</v>
      </c>
      <c r="G265" s="17">
        <v>8</v>
      </c>
      <c r="H265" s="15">
        <v>0.10798193302637613</v>
      </c>
      <c r="I265" s="15">
        <v>0.79788456080286541</v>
      </c>
      <c r="J265" s="15">
        <v>0.10798193302637613</v>
      </c>
      <c r="K265" s="15">
        <v>0.10650697891920077</v>
      </c>
      <c r="L265" s="15">
        <v>0.78698604216159851</v>
      </c>
      <c r="M265" s="15">
        <v>0.10650697891920077</v>
      </c>
      <c r="P265"/>
    </row>
    <row r="266" spans="1:16" x14ac:dyDescent="0.25">
      <c r="A266" s="2">
        <v>34</v>
      </c>
      <c r="B266" s="2">
        <v>1</v>
      </c>
      <c r="C266" s="2" t="s">
        <v>96</v>
      </c>
      <c r="D266" s="22">
        <v>6</v>
      </c>
      <c r="E266" s="2">
        <v>5</v>
      </c>
      <c r="F266" s="2">
        <v>6</v>
      </c>
      <c r="G266" s="2">
        <v>7</v>
      </c>
      <c r="H266" s="16">
        <v>0.10798193302637613</v>
      </c>
      <c r="I266" s="16">
        <v>0.79788456080286541</v>
      </c>
      <c r="J266" s="16">
        <v>0.10798193302637613</v>
      </c>
      <c r="K266" s="16">
        <v>0.10650697891920077</v>
      </c>
      <c r="L266" s="16">
        <v>0.78698604216159851</v>
      </c>
      <c r="M266" s="16">
        <v>0.10650697891920077</v>
      </c>
      <c r="P266"/>
    </row>
    <row r="267" spans="1:16" x14ac:dyDescent="0.25">
      <c r="A267" s="2">
        <v>34</v>
      </c>
      <c r="B267" s="2">
        <v>2</v>
      </c>
      <c r="C267" s="2" t="s">
        <v>96</v>
      </c>
      <c r="D267" s="22">
        <v>7</v>
      </c>
      <c r="E267" s="2">
        <v>6</v>
      </c>
      <c r="F267" s="2">
        <v>7</v>
      </c>
      <c r="G267" s="2">
        <v>8</v>
      </c>
      <c r="H267" s="16">
        <v>0.10798193302637613</v>
      </c>
      <c r="I267" s="16">
        <v>0.79788456080286541</v>
      </c>
      <c r="J267" s="16">
        <v>0.10798193302637613</v>
      </c>
      <c r="K267" s="16">
        <v>0.10650697891920077</v>
      </c>
      <c r="L267" s="16">
        <v>0.78698604216159851</v>
      </c>
      <c r="M267" s="16">
        <v>0.10650697891920077</v>
      </c>
      <c r="P267"/>
    </row>
    <row r="268" spans="1:16" x14ac:dyDescent="0.25">
      <c r="A268" s="2">
        <v>34</v>
      </c>
      <c r="B268" s="2">
        <v>3</v>
      </c>
      <c r="C268" s="2" t="s">
        <v>96</v>
      </c>
      <c r="D268" s="22">
        <v>9</v>
      </c>
      <c r="E268" s="2">
        <v>8</v>
      </c>
      <c r="F268" s="2">
        <v>9</v>
      </c>
      <c r="G268" s="2">
        <v>10</v>
      </c>
      <c r="H268" s="16">
        <v>0.10798193302637613</v>
      </c>
      <c r="I268" s="16">
        <v>0.79788456080286541</v>
      </c>
      <c r="J268" s="16">
        <v>0.10798193302637613</v>
      </c>
      <c r="K268" s="16">
        <v>0.10650697891920077</v>
      </c>
      <c r="L268" s="16">
        <v>0.78698604216159851</v>
      </c>
      <c r="M268" s="16">
        <v>0.10650697891920077</v>
      </c>
      <c r="P268"/>
    </row>
    <row r="269" spans="1:16" hidden="1" x14ac:dyDescent="0.25">
      <c r="A269" s="17">
        <v>35</v>
      </c>
      <c r="B269" s="17">
        <v>2</v>
      </c>
      <c r="C269" s="17" t="s">
        <v>94</v>
      </c>
      <c r="D269" s="21">
        <v>5</v>
      </c>
      <c r="E269" s="17">
        <v>4</v>
      </c>
      <c r="F269" s="17">
        <v>5</v>
      </c>
      <c r="G269" s="17">
        <v>6</v>
      </c>
      <c r="H269" s="15">
        <v>0.10798193302637613</v>
      </c>
      <c r="I269" s="15">
        <v>0.79788456080286541</v>
      </c>
      <c r="J269" s="15">
        <v>0.10798193302637613</v>
      </c>
      <c r="K269" s="15">
        <v>0.10650697891920077</v>
      </c>
      <c r="L269" s="15">
        <v>0.78698604216159851</v>
      </c>
      <c r="M269" s="15">
        <v>0.10650697891920077</v>
      </c>
      <c r="P269"/>
    </row>
    <row r="270" spans="1:16" hidden="1" x14ac:dyDescent="0.25">
      <c r="A270" s="17">
        <v>35</v>
      </c>
      <c r="B270" s="17">
        <v>3</v>
      </c>
      <c r="C270" s="17" t="s">
        <v>94</v>
      </c>
      <c r="D270" s="21">
        <v>5</v>
      </c>
      <c r="E270" s="17">
        <v>4</v>
      </c>
      <c r="F270" s="17">
        <v>5</v>
      </c>
      <c r="G270" s="17">
        <v>6</v>
      </c>
      <c r="H270" s="15">
        <v>0.10798193302637613</v>
      </c>
      <c r="I270" s="15">
        <v>0.79788456080286541</v>
      </c>
      <c r="J270" s="15">
        <v>0.10798193302637613</v>
      </c>
      <c r="K270" s="15">
        <v>0.10650697891920077</v>
      </c>
      <c r="L270" s="15">
        <v>0.78698604216159851</v>
      </c>
      <c r="M270" s="15">
        <v>0.10650697891920077</v>
      </c>
      <c r="P270"/>
    </row>
    <row r="271" spans="1:16" hidden="1" x14ac:dyDescent="0.25">
      <c r="A271" s="2">
        <v>35</v>
      </c>
      <c r="B271" s="2">
        <v>1</v>
      </c>
      <c r="C271" s="2" t="s">
        <v>95</v>
      </c>
      <c r="D271" s="22">
        <v>6</v>
      </c>
      <c r="E271" s="2">
        <v>5</v>
      </c>
      <c r="F271" s="2">
        <v>6</v>
      </c>
      <c r="G271" s="2">
        <v>7</v>
      </c>
      <c r="H271" s="16">
        <v>0.10798193302637613</v>
      </c>
      <c r="I271" s="16">
        <v>0.79788456080286541</v>
      </c>
      <c r="J271" s="16">
        <v>0.10798193302637613</v>
      </c>
      <c r="K271" s="16">
        <v>0.10650697891920077</v>
      </c>
      <c r="L271" s="16">
        <v>0.78698604216159851</v>
      </c>
      <c r="M271" s="16">
        <v>0.10650697891920077</v>
      </c>
      <c r="P271"/>
    </row>
    <row r="272" spans="1:16" hidden="1" x14ac:dyDescent="0.25">
      <c r="A272" s="2">
        <v>35</v>
      </c>
      <c r="B272" s="2">
        <v>3</v>
      </c>
      <c r="C272" s="2" t="s">
        <v>95</v>
      </c>
      <c r="D272" s="22">
        <v>8</v>
      </c>
      <c r="E272" s="2">
        <v>7</v>
      </c>
      <c r="F272" s="2">
        <v>8</v>
      </c>
      <c r="G272" s="2">
        <v>9</v>
      </c>
      <c r="H272" s="16">
        <v>0.10798193302637613</v>
      </c>
      <c r="I272" s="16">
        <v>0.79788456080286541</v>
      </c>
      <c r="J272" s="16">
        <v>0.10798193302637613</v>
      </c>
      <c r="K272" s="16">
        <v>0.10650697891920077</v>
      </c>
      <c r="L272" s="16">
        <v>0.78698604216159851</v>
      </c>
      <c r="M272" s="16">
        <v>0.10650697891920077</v>
      </c>
      <c r="P272"/>
    </row>
    <row r="273" spans="1:18" x14ac:dyDescent="0.25">
      <c r="A273" s="17">
        <v>35</v>
      </c>
      <c r="B273" s="17">
        <v>1</v>
      </c>
      <c r="C273" s="17" t="s">
        <v>96</v>
      </c>
      <c r="D273" s="21">
        <v>8</v>
      </c>
      <c r="E273" s="17">
        <v>7</v>
      </c>
      <c r="F273" s="17">
        <v>8</v>
      </c>
      <c r="G273" s="17">
        <v>9</v>
      </c>
      <c r="H273" s="15">
        <v>0.10798193302637613</v>
      </c>
      <c r="I273" s="15">
        <v>0.79788456080286541</v>
      </c>
      <c r="J273" s="15">
        <v>0.10798193302637613</v>
      </c>
      <c r="K273" s="15">
        <v>0.10650697891920077</v>
      </c>
      <c r="L273" s="15">
        <v>0.78698604216159851</v>
      </c>
      <c r="M273" s="15">
        <v>0.10650697891920077</v>
      </c>
      <c r="P273"/>
    </row>
    <row r="274" spans="1:18" x14ac:dyDescent="0.25">
      <c r="A274" s="17">
        <v>35</v>
      </c>
      <c r="B274" s="17">
        <v>2</v>
      </c>
      <c r="C274" s="17" t="s">
        <v>96</v>
      </c>
      <c r="D274" s="21">
        <v>8</v>
      </c>
      <c r="E274" s="17">
        <v>7</v>
      </c>
      <c r="F274" s="17">
        <v>8</v>
      </c>
      <c r="G274" s="17">
        <v>9</v>
      </c>
      <c r="H274" s="15">
        <v>0.10798193302637613</v>
      </c>
      <c r="I274" s="15">
        <v>0.79788456080286541</v>
      </c>
      <c r="J274" s="15">
        <v>0.10798193302637613</v>
      </c>
      <c r="K274" s="15">
        <v>0.10650697891920077</v>
      </c>
      <c r="L274" s="15">
        <v>0.78698604216159851</v>
      </c>
      <c r="M274" s="15">
        <v>0.10650697891920077</v>
      </c>
      <c r="P274"/>
    </row>
    <row r="275" spans="1:18" x14ac:dyDescent="0.25">
      <c r="A275" s="17">
        <v>35</v>
      </c>
      <c r="B275" s="17">
        <v>3</v>
      </c>
      <c r="C275" s="17" t="s">
        <v>96</v>
      </c>
      <c r="D275" s="21">
        <v>9</v>
      </c>
      <c r="E275" s="17">
        <v>8</v>
      </c>
      <c r="F275" s="17">
        <v>9</v>
      </c>
      <c r="G275" s="17">
        <v>10</v>
      </c>
      <c r="H275" s="15">
        <v>0.10798193302637613</v>
      </c>
      <c r="I275" s="15">
        <v>0.79788456080286541</v>
      </c>
      <c r="J275" s="15">
        <v>0.10798193302637613</v>
      </c>
      <c r="K275" s="15">
        <v>0.10650697891920077</v>
      </c>
      <c r="L275" s="15">
        <v>0.78698604216159851</v>
      </c>
      <c r="M275" s="15">
        <v>0.10650697891920077</v>
      </c>
      <c r="P275"/>
    </row>
    <row r="276" spans="1:18" hidden="1" x14ac:dyDescent="0.25">
      <c r="A276" s="2">
        <v>36</v>
      </c>
      <c r="B276" s="2">
        <v>1</v>
      </c>
      <c r="C276" s="2" t="s">
        <v>94</v>
      </c>
      <c r="D276" s="22">
        <v>10</v>
      </c>
      <c r="E276" s="2">
        <v>9</v>
      </c>
      <c r="F276" s="2">
        <v>10</v>
      </c>
      <c r="G276" s="2" t="s">
        <v>106</v>
      </c>
      <c r="H276" s="16">
        <v>0.10798193302637613</v>
      </c>
      <c r="I276" s="16">
        <v>0.79788456080286541</v>
      </c>
      <c r="J276" s="16" t="s">
        <v>106</v>
      </c>
      <c r="K276" s="16">
        <v>0.11920292202211756</v>
      </c>
      <c r="L276" s="16">
        <v>0.88079707797788243</v>
      </c>
      <c r="M276" s="16" t="s">
        <v>106</v>
      </c>
      <c r="P276"/>
    </row>
    <row r="277" spans="1:18" hidden="1" x14ac:dyDescent="0.25">
      <c r="A277" s="2">
        <v>36</v>
      </c>
      <c r="B277" s="2">
        <v>2</v>
      </c>
      <c r="C277" s="2" t="s">
        <v>94</v>
      </c>
      <c r="D277" s="22">
        <v>8</v>
      </c>
      <c r="E277" s="2">
        <v>7</v>
      </c>
      <c r="F277" s="2">
        <v>8</v>
      </c>
      <c r="G277" s="2">
        <v>9</v>
      </c>
      <c r="H277" s="16">
        <v>0.10798193302637613</v>
      </c>
      <c r="I277" s="16">
        <v>0.79788456080286541</v>
      </c>
      <c r="J277" s="16">
        <v>0.10798193302637613</v>
      </c>
      <c r="K277" s="16">
        <v>0.10650697891920077</v>
      </c>
      <c r="L277" s="16">
        <v>0.78698604216159851</v>
      </c>
      <c r="M277" s="16">
        <v>0.10650697891920077</v>
      </c>
      <c r="P277"/>
    </row>
    <row r="278" spans="1:18" hidden="1" x14ac:dyDescent="0.25">
      <c r="A278" s="2">
        <v>36</v>
      </c>
      <c r="B278" s="2">
        <v>3</v>
      </c>
      <c r="C278" s="2" t="s">
        <v>94</v>
      </c>
      <c r="D278" s="22">
        <v>7</v>
      </c>
      <c r="E278" s="2">
        <v>6</v>
      </c>
      <c r="F278" s="2">
        <v>7</v>
      </c>
      <c r="G278" s="2">
        <v>8</v>
      </c>
      <c r="H278" s="16">
        <v>0.10798193302637613</v>
      </c>
      <c r="I278" s="16">
        <v>0.79788456080286541</v>
      </c>
      <c r="J278" s="16">
        <v>0.10798193302637613</v>
      </c>
      <c r="K278" s="16">
        <v>0.10650697891920077</v>
      </c>
      <c r="L278" s="16">
        <v>0.78698604216159851</v>
      </c>
      <c r="M278" s="16">
        <v>0.10650697891920077</v>
      </c>
      <c r="P278"/>
    </row>
    <row r="279" spans="1:18" hidden="1" x14ac:dyDescent="0.25">
      <c r="A279" s="17">
        <v>36</v>
      </c>
      <c r="B279" s="17">
        <v>1</v>
      </c>
      <c r="C279" s="17" t="s">
        <v>95</v>
      </c>
      <c r="D279" s="21">
        <v>10</v>
      </c>
      <c r="E279" s="17">
        <v>9</v>
      </c>
      <c r="F279" s="17">
        <v>10</v>
      </c>
      <c r="G279" s="17" t="s">
        <v>106</v>
      </c>
      <c r="H279" s="15">
        <v>0.10798193302637613</v>
      </c>
      <c r="I279" s="15">
        <v>0.79788456080286541</v>
      </c>
      <c r="J279" s="15" t="s">
        <v>106</v>
      </c>
      <c r="K279" s="15">
        <v>0.11920292202211756</v>
      </c>
      <c r="L279" s="15">
        <v>0.88079707797788243</v>
      </c>
      <c r="M279" s="15" t="s">
        <v>106</v>
      </c>
      <c r="P279"/>
    </row>
    <row r="280" spans="1:18" hidden="1" x14ac:dyDescent="0.25">
      <c r="A280" s="17">
        <v>36</v>
      </c>
      <c r="B280" s="17">
        <v>2</v>
      </c>
      <c r="C280" s="17" t="s">
        <v>95</v>
      </c>
      <c r="D280" s="21">
        <v>9</v>
      </c>
      <c r="E280" s="17">
        <v>8</v>
      </c>
      <c r="F280" s="17">
        <v>9</v>
      </c>
      <c r="G280" s="17">
        <v>10</v>
      </c>
      <c r="H280" s="15">
        <v>0.10798193302637613</v>
      </c>
      <c r="I280" s="15">
        <v>0.79788456080286541</v>
      </c>
      <c r="J280" s="15">
        <v>0.10798193302637613</v>
      </c>
      <c r="K280" s="15">
        <v>0.10650697891920077</v>
      </c>
      <c r="L280" s="15">
        <v>0.78698604216159851</v>
      </c>
      <c r="M280" s="15">
        <v>0.10650697891920077</v>
      </c>
      <c r="P280"/>
    </row>
    <row r="281" spans="1:18" hidden="1" x14ac:dyDescent="0.25">
      <c r="A281" s="17">
        <v>36</v>
      </c>
      <c r="B281" s="17">
        <v>3</v>
      </c>
      <c r="C281" s="17" t="s">
        <v>95</v>
      </c>
      <c r="D281" s="21">
        <v>7</v>
      </c>
      <c r="E281" s="17">
        <v>6</v>
      </c>
      <c r="F281" s="17">
        <v>7</v>
      </c>
      <c r="G281" s="17">
        <v>8</v>
      </c>
      <c r="H281" s="15">
        <v>0.10798193302637613</v>
      </c>
      <c r="I281" s="15">
        <v>0.79788456080286541</v>
      </c>
      <c r="J281" s="15">
        <v>0.10798193302637613</v>
      </c>
      <c r="K281" s="15">
        <v>0.10650697891920077</v>
      </c>
      <c r="L281" s="15">
        <v>0.78698604216159851</v>
      </c>
      <c r="M281" s="15">
        <v>0.10650697891920077</v>
      </c>
      <c r="P281"/>
    </row>
    <row r="282" spans="1:18" x14ac:dyDescent="0.25">
      <c r="A282" s="2">
        <v>36</v>
      </c>
      <c r="B282" s="2">
        <v>1</v>
      </c>
      <c r="C282" s="2" t="s">
        <v>96</v>
      </c>
      <c r="D282" s="22">
        <v>10</v>
      </c>
      <c r="E282" s="2">
        <v>9</v>
      </c>
      <c r="F282" s="2">
        <v>10</v>
      </c>
      <c r="G282" s="2" t="s">
        <v>106</v>
      </c>
      <c r="H282" s="16">
        <v>0.10798193302637613</v>
      </c>
      <c r="I282" s="16">
        <v>0.79788456080286541</v>
      </c>
      <c r="J282" s="16" t="s">
        <v>106</v>
      </c>
      <c r="K282" s="16">
        <v>0.11920292202211756</v>
      </c>
      <c r="L282" s="16">
        <v>0.88079707797788243</v>
      </c>
      <c r="M282" s="16" t="s">
        <v>106</v>
      </c>
      <c r="P282"/>
    </row>
    <row r="283" spans="1:18" x14ac:dyDescent="0.25">
      <c r="A283" s="2">
        <v>36</v>
      </c>
      <c r="B283" s="2">
        <v>2</v>
      </c>
      <c r="C283" s="2" t="s">
        <v>96</v>
      </c>
      <c r="D283" s="22">
        <v>9</v>
      </c>
      <c r="E283" s="2">
        <v>8</v>
      </c>
      <c r="F283" s="2">
        <v>9</v>
      </c>
      <c r="G283" s="2">
        <v>10</v>
      </c>
      <c r="H283" s="16">
        <v>0.10798193302637613</v>
      </c>
      <c r="I283" s="16">
        <v>0.79788456080286541</v>
      </c>
      <c r="J283" s="16">
        <v>0.10798193302637613</v>
      </c>
      <c r="K283" s="16">
        <v>0.10650697891920077</v>
      </c>
      <c r="L283" s="16">
        <v>0.78698604216159851</v>
      </c>
      <c r="M283" s="16">
        <v>0.10650697891920077</v>
      </c>
      <c r="P283"/>
    </row>
    <row r="284" spans="1:18" x14ac:dyDescent="0.25">
      <c r="A284" s="2">
        <v>36</v>
      </c>
      <c r="B284" s="2">
        <v>3</v>
      </c>
      <c r="C284" s="2" t="s">
        <v>96</v>
      </c>
      <c r="D284" s="24">
        <v>9</v>
      </c>
      <c r="E284" s="2">
        <v>8</v>
      </c>
      <c r="F284" s="2">
        <v>9</v>
      </c>
      <c r="G284" s="2">
        <v>10</v>
      </c>
      <c r="H284" s="16">
        <v>0.10798193302637613</v>
      </c>
      <c r="I284" s="16">
        <v>0.79788456080286541</v>
      </c>
      <c r="J284" s="16">
        <v>0.10798193302637613</v>
      </c>
      <c r="K284" s="16">
        <v>0.10650697891920077</v>
      </c>
      <c r="L284" s="16">
        <v>0.78698604216159851</v>
      </c>
      <c r="M284" s="16">
        <v>0.10650697891920077</v>
      </c>
      <c r="P284"/>
    </row>
    <row r="285" spans="1:18" x14ac:dyDescent="0.25">
      <c r="O285" s="29">
        <v>5</v>
      </c>
      <c r="Q285" t="s">
        <v>108</v>
      </c>
      <c r="R285" t="s">
        <v>108</v>
      </c>
    </row>
    <row r="286" spans="1:18" x14ac:dyDescent="0.25">
      <c r="O286" s="29">
        <v>6</v>
      </c>
      <c r="R286" t="s">
        <v>108</v>
      </c>
    </row>
    <row r="289" spans="15:19" x14ac:dyDescent="0.25">
      <c r="O289" s="29" t="s">
        <v>109</v>
      </c>
      <c r="P289" s="2" t="s">
        <v>110</v>
      </c>
      <c r="Q289" t="s">
        <v>112</v>
      </c>
      <c r="R289" t="s">
        <v>113</v>
      </c>
    </row>
    <row r="290" spans="15:19" x14ac:dyDescent="0.25">
      <c r="O290" s="29">
        <v>3</v>
      </c>
      <c r="Q290" s="31">
        <f>K29</f>
        <v>0.10650697891920077</v>
      </c>
      <c r="R290" s="31">
        <f>Q290/2</f>
        <v>5.3253489459600387E-2</v>
      </c>
      <c r="S290">
        <f>R290*O290</f>
        <v>0.15976046837880115</v>
      </c>
    </row>
    <row r="291" spans="15:19" x14ac:dyDescent="0.25">
      <c r="O291" s="29">
        <v>4</v>
      </c>
      <c r="Q291" s="31">
        <f>K28+L29</f>
        <v>0.89349302108079931</v>
      </c>
      <c r="R291" s="31">
        <f t="shared" ref="R291:R293" si="0">Q291/2</f>
        <v>0.44674651054039966</v>
      </c>
      <c r="S291">
        <f t="shared" ref="S291:S293" si="1">R291*O291</f>
        <v>1.7869860421615986</v>
      </c>
    </row>
    <row r="292" spans="15:19" x14ac:dyDescent="0.25">
      <c r="O292" s="29">
        <v>5</v>
      </c>
      <c r="Q292" s="31">
        <f>L28+M29</f>
        <v>0.89349302108079931</v>
      </c>
      <c r="R292" s="31">
        <f t="shared" si="0"/>
        <v>0.44674651054039966</v>
      </c>
      <c r="S292">
        <f t="shared" si="1"/>
        <v>2.2337325527019982</v>
      </c>
    </row>
    <row r="293" spans="15:19" x14ac:dyDescent="0.25">
      <c r="O293" s="29">
        <v>6</v>
      </c>
      <c r="Q293" s="31">
        <f>M28</f>
        <v>0.10650697891920077</v>
      </c>
      <c r="R293" s="31">
        <f t="shared" si="0"/>
        <v>5.3253489459600387E-2</v>
      </c>
      <c r="S293">
        <f t="shared" si="1"/>
        <v>0.31952093675760229</v>
      </c>
    </row>
    <row r="295" spans="15:19" x14ac:dyDescent="0.25">
      <c r="S295">
        <f>SUM(S290:S293)</f>
        <v>4.5</v>
      </c>
    </row>
  </sheetData>
  <autoFilter ref="A4:M284" xr:uid="{99195E1B-2A80-4714-ADA0-DD05035BFF80}">
    <filterColumn colId="2">
      <filters>
        <filter val="S"/>
      </filters>
    </filterColumn>
  </autoFilter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7F02-1B39-4A3D-B09C-3CA30E608ED6}">
  <dimension ref="A1:D57"/>
  <sheetViews>
    <sheetView zoomScaleNormal="100" workbookViewId="0">
      <selection activeCell="E18" sqref="E18"/>
    </sheetView>
  </sheetViews>
  <sheetFormatPr defaultRowHeight="15" x14ac:dyDescent="0.25"/>
  <cols>
    <col min="1" max="1" width="85.140625" bestFit="1" customWidth="1"/>
    <col min="2" max="2" width="10.85546875" bestFit="1" customWidth="1"/>
    <col min="3" max="3" width="9.140625" bestFit="1" customWidth="1"/>
    <col min="4" max="4" width="12.42578125" customWidth="1"/>
  </cols>
  <sheetData>
    <row r="1" spans="1:4" ht="15.75" thickBot="1" x14ac:dyDescent="0.3">
      <c r="B1" s="8" t="s">
        <v>1</v>
      </c>
      <c r="C1" s="8" t="s">
        <v>2</v>
      </c>
      <c r="D1" s="8" t="s">
        <v>3</v>
      </c>
    </row>
    <row r="2" spans="1:4" ht="18" x14ac:dyDescent="0.25">
      <c r="A2" s="6" t="s">
        <v>0</v>
      </c>
    </row>
    <row r="3" spans="1:4" x14ac:dyDescent="0.25">
      <c r="A3" s="7"/>
    </row>
    <row r="4" spans="1:4" x14ac:dyDescent="0.25">
      <c r="A4" s="7" t="s">
        <v>10</v>
      </c>
    </row>
    <row r="5" spans="1:4" x14ac:dyDescent="0.25">
      <c r="A5" s="7" t="s">
        <v>11</v>
      </c>
    </row>
    <row r="6" spans="1:4" x14ac:dyDescent="0.25">
      <c r="A6" s="7" t="s">
        <v>12</v>
      </c>
    </row>
    <row r="7" spans="1:4" x14ac:dyDescent="0.25">
      <c r="A7" s="7" t="s">
        <v>13</v>
      </c>
    </row>
    <row r="8" spans="1:4" x14ac:dyDescent="0.25">
      <c r="A8" s="7" t="s">
        <v>14</v>
      </c>
    </row>
    <row r="9" spans="1:4" x14ac:dyDescent="0.25">
      <c r="A9" s="7"/>
    </row>
    <row r="10" spans="1:4" ht="18" x14ac:dyDescent="0.25">
      <c r="A10" s="6" t="s">
        <v>4</v>
      </c>
    </row>
    <row r="11" spans="1:4" x14ac:dyDescent="0.25">
      <c r="A11" s="7"/>
    </row>
    <row r="12" spans="1:4" x14ac:dyDescent="0.25">
      <c r="A12" s="7" t="s">
        <v>15</v>
      </c>
    </row>
    <row r="13" spans="1:4" x14ac:dyDescent="0.25">
      <c r="A13" s="7" t="s">
        <v>16</v>
      </c>
    </row>
    <row r="14" spans="1:4" x14ac:dyDescent="0.25">
      <c r="A14" s="7" t="s">
        <v>17</v>
      </c>
    </row>
    <row r="15" spans="1:4" x14ac:dyDescent="0.25">
      <c r="A15" s="7" t="s">
        <v>18</v>
      </c>
    </row>
    <row r="16" spans="1:4" x14ac:dyDescent="0.25">
      <c r="A16" s="7" t="s">
        <v>19</v>
      </c>
    </row>
    <row r="17" spans="1:1" x14ac:dyDescent="0.25">
      <c r="A17" s="7"/>
    </row>
    <row r="18" spans="1:1" ht="18" x14ac:dyDescent="0.25">
      <c r="A18" s="6" t="s">
        <v>5</v>
      </c>
    </row>
    <row r="19" spans="1:1" x14ac:dyDescent="0.25">
      <c r="A19" s="7"/>
    </row>
    <row r="20" spans="1:1" x14ac:dyDescent="0.25">
      <c r="A20" s="7" t="s">
        <v>20</v>
      </c>
    </row>
    <row r="21" spans="1:1" x14ac:dyDescent="0.25">
      <c r="A21" s="7" t="s">
        <v>21</v>
      </c>
    </row>
    <row r="22" spans="1:1" x14ac:dyDescent="0.25">
      <c r="A22" s="7" t="s">
        <v>22</v>
      </c>
    </row>
    <row r="23" spans="1:1" x14ac:dyDescent="0.25">
      <c r="A23" s="7" t="s">
        <v>23</v>
      </c>
    </row>
    <row r="24" spans="1:1" x14ac:dyDescent="0.25">
      <c r="A24" s="7" t="s">
        <v>24</v>
      </c>
    </row>
    <row r="25" spans="1:1" x14ac:dyDescent="0.25">
      <c r="A25" s="7"/>
    </row>
    <row r="26" spans="1:1" ht="18" x14ac:dyDescent="0.25">
      <c r="A26" s="6" t="s">
        <v>9</v>
      </c>
    </row>
    <row r="27" spans="1:1" x14ac:dyDescent="0.25">
      <c r="A27" s="7"/>
    </row>
    <row r="28" spans="1:1" x14ac:dyDescent="0.25">
      <c r="A28" s="7" t="s">
        <v>25</v>
      </c>
    </row>
    <row r="29" spans="1:1" x14ac:dyDescent="0.25">
      <c r="A29" s="7" t="s">
        <v>26</v>
      </c>
    </row>
    <row r="30" spans="1:1" x14ac:dyDescent="0.25">
      <c r="A30" s="7" t="s">
        <v>27</v>
      </c>
    </row>
    <row r="31" spans="1:1" x14ac:dyDescent="0.25">
      <c r="A31" s="7" t="s">
        <v>28</v>
      </c>
    </row>
    <row r="32" spans="1:1" x14ac:dyDescent="0.25">
      <c r="A32" s="7" t="s">
        <v>29</v>
      </c>
    </row>
    <row r="33" spans="1:1" x14ac:dyDescent="0.25">
      <c r="A33" s="7"/>
    </row>
    <row r="34" spans="1:1" ht="18" x14ac:dyDescent="0.25">
      <c r="A34" s="6" t="s">
        <v>6</v>
      </c>
    </row>
    <row r="35" spans="1:1" x14ac:dyDescent="0.25">
      <c r="A35" s="7"/>
    </row>
    <row r="36" spans="1:1" x14ac:dyDescent="0.25">
      <c r="A36" s="7" t="s">
        <v>30</v>
      </c>
    </row>
    <row r="37" spans="1:1" x14ac:dyDescent="0.25">
      <c r="A37" s="7" t="s">
        <v>31</v>
      </c>
    </row>
    <row r="38" spans="1:1" x14ac:dyDescent="0.25">
      <c r="A38" s="7" t="s">
        <v>32</v>
      </c>
    </row>
    <row r="39" spans="1:1" x14ac:dyDescent="0.25">
      <c r="A39" s="7" t="s">
        <v>33</v>
      </c>
    </row>
    <row r="40" spans="1:1" x14ac:dyDescent="0.25">
      <c r="A40" s="7" t="s">
        <v>34</v>
      </c>
    </row>
    <row r="41" spans="1:1" x14ac:dyDescent="0.25">
      <c r="A41" s="7"/>
    </row>
    <row r="42" spans="1:1" x14ac:dyDescent="0.25">
      <c r="A42" s="7"/>
    </row>
    <row r="43" spans="1:1" ht="18" x14ac:dyDescent="0.25">
      <c r="A43" s="6" t="s">
        <v>7</v>
      </c>
    </row>
    <row r="44" spans="1:1" x14ac:dyDescent="0.25">
      <c r="A44" s="7"/>
    </row>
    <row r="45" spans="1:1" x14ac:dyDescent="0.25">
      <c r="A45" s="7" t="s">
        <v>35</v>
      </c>
    </row>
    <row r="46" spans="1:1" x14ac:dyDescent="0.25">
      <c r="A46" s="7" t="s">
        <v>36</v>
      </c>
    </row>
    <row r="47" spans="1:1" x14ac:dyDescent="0.25">
      <c r="A47" s="7" t="s">
        <v>37</v>
      </c>
    </row>
    <row r="48" spans="1:1" x14ac:dyDescent="0.25">
      <c r="A48" s="7" t="s">
        <v>38</v>
      </c>
    </row>
    <row r="49" spans="1:1" x14ac:dyDescent="0.25">
      <c r="A49" s="7" t="s">
        <v>39</v>
      </c>
    </row>
    <row r="50" spans="1:1" x14ac:dyDescent="0.25">
      <c r="A50" s="7"/>
    </row>
    <row r="51" spans="1:1" ht="18" x14ac:dyDescent="0.25">
      <c r="A51" s="6" t="s">
        <v>8</v>
      </c>
    </row>
    <row r="52" spans="1:1" x14ac:dyDescent="0.25">
      <c r="A52" s="7"/>
    </row>
    <row r="53" spans="1:1" x14ac:dyDescent="0.25">
      <c r="A53" s="7" t="s">
        <v>40</v>
      </c>
    </row>
    <row r="54" spans="1:1" x14ac:dyDescent="0.25">
      <c r="A54" s="7" t="s">
        <v>41</v>
      </c>
    </row>
    <row r="55" spans="1:1" x14ac:dyDescent="0.25">
      <c r="A55" s="7" t="s">
        <v>42</v>
      </c>
    </row>
    <row r="56" spans="1:1" x14ac:dyDescent="0.25">
      <c r="A56" s="7" t="s">
        <v>43</v>
      </c>
    </row>
    <row r="57" spans="1:1" x14ac:dyDescent="0.25">
      <c r="A57" s="7" t="s">
        <v>44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&amp;C_x000D_&amp;1#&amp;"Calibri"&amp;10&amp;K000000 Ostensivo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Questions</vt:lpstr>
      <vt:lpstr>tabelaas de nota</vt:lpstr>
      <vt:lpstr>Eventos_tabulados</vt:lpstr>
      <vt:lpstr>Occurence</vt:lpstr>
      <vt:lpstr>Detection</vt:lpstr>
      <vt:lpstr>Severity</vt:lpstr>
      <vt:lpstr>Planilha1</vt:lpstr>
      <vt:lpstr>MASS AND ABNTY</vt:lpstr>
      <vt:lpstr>RPN_POND_MASS</vt:lpstr>
      <vt:lpstr>Validação</vt:lpstr>
      <vt:lpstr>FINAL_RESULTS</vt:lpstr>
      <vt:lpstr>Planilha3</vt:lpstr>
      <vt:lpstr>Eventos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 Florencio Alves</dc:creator>
  <cp:lastModifiedBy>Bruno Alves</cp:lastModifiedBy>
  <dcterms:created xsi:type="dcterms:W3CDTF">2025-05-17T20:20:29Z</dcterms:created>
  <dcterms:modified xsi:type="dcterms:W3CDTF">2026-03-27T00:53:16Z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073b22-4fa6-4a78-98b1-87d7d3aea64d_Enabled">
    <vt:lpwstr>true</vt:lpwstr>
  </property>
  <property fmtid="{D5CDD505-2E9C-101B-9397-08002B2CF9AE}" pid="3" name="MSIP_Label_e7073b22-4fa6-4a78-98b1-87d7d3aea64d_SetDate">
    <vt:lpwstr>2025-05-22T12:22:35Z</vt:lpwstr>
  </property>
  <property fmtid="{D5CDD505-2E9C-101B-9397-08002B2CF9AE}" pid="4" name="MSIP_Label_e7073b22-4fa6-4a78-98b1-87d7d3aea64d_Method">
    <vt:lpwstr>Privileged</vt:lpwstr>
  </property>
  <property fmtid="{D5CDD505-2E9C-101B-9397-08002B2CF9AE}" pid="5" name="MSIP_Label_e7073b22-4fa6-4a78-98b1-87d7d3aea64d_Name">
    <vt:lpwstr>Público</vt:lpwstr>
  </property>
  <property fmtid="{D5CDD505-2E9C-101B-9397-08002B2CF9AE}" pid="6" name="MSIP_Label_e7073b22-4fa6-4a78-98b1-87d7d3aea64d_SiteId">
    <vt:lpwstr>37bb5be2-ce71-4a25-949e-94c6df2c970d</vt:lpwstr>
  </property>
  <property fmtid="{D5CDD505-2E9C-101B-9397-08002B2CF9AE}" pid="7" name="MSIP_Label_e7073b22-4fa6-4a78-98b1-87d7d3aea64d_ActionId">
    <vt:lpwstr>7d22d09c-07d5-4bb6-9d9f-a9117bd8c6bb</vt:lpwstr>
  </property>
  <property fmtid="{D5CDD505-2E9C-101B-9397-08002B2CF9AE}" pid="8" name="MSIP_Label_e7073b22-4fa6-4a78-98b1-87d7d3aea64d_ContentBits">
    <vt:lpwstr>2</vt:lpwstr>
  </property>
  <property fmtid="{D5CDD505-2E9C-101B-9397-08002B2CF9AE}" pid="9" name="MSIP_Label_e7073b22-4fa6-4a78-98b1-87d7d3aea64d_Tag">
    <vt:lpwstr>10, 0, 1, 1</vt:lpwstr>
  </property>
</Properties>
</file>